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odriguez\Downloads\"/>
    </mc:Choice>
  </mc:AlternateContent>
  <xr:revisionPtr revIDLastSave="0" documentId="8_{CCEB1ED4-E0EB-4936-A743-C0FBE71DDFC9}" xr6:coauthVersionLast="47" xr6:coauthVersionMax="47" xr10:uidLastSave="{00000000-0000-0000-0000-000000000000}"/>
  <bookViews>
    <workbookView xWindow="-14520" yWindow="-16320" windowWidth="29040" windowHeight="15720" xr2:uid="{C3BA5B63-6D5C-4B50-AF6F-079787DB52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B3" i="1" l="1" a="1"/>
  <c r="AB3" i="1" s="1"/>
  <c r="AB4" i="1" a="1"/>
  <c r="AB4" i="1" s="1"/>
  <c r="AB5" i="1" a="1"/>
  <c r="AB5" i="1"/>
  <c r="AB6" i="1" a="1"/>
  <c r="AB6" i="1"/>
  <c r="AB7" i="1" a="1"/>
  <c r="AB7" i="1" s="1"/>
  <c r="AB8" i="1" a="1"/>
  <c r="AB8" i="1" s="1"/>
  <c r="AB9" i="1" a="1"/>
  <c r="AB9" i="1"/>
  <c r="AB10" i="1" a="1"/>
  <c r="AB10" i="1"/>
  <c r="AB11" i="1" a="1"/>
  <c r="AB11" i="1" s="1"/>
  <c r="AB12" i="1" a="1"/>
  <c r="AB12" i="1" s="1"/>
  <c r="AB13" i="1" a="1"/>
  <c r="AB13" i="1"/>
  <c r="AB14" i="1" a="1"/>
  <c r="AB14" i="1"/>
  <c r="AB15" i="1" a="1"/>
  <c r="AB15" i="1" s="1"/>
  <c r="AB16" i="1" a="1"/>
  <c r="AB16" i="1" s="1"/>
  <c r="AB17" i="1" a="1"/>
  <c r="AB17" i="1"/>
  <c r="AB18" i="1" a="1"/>
  <c r="AB18" i="1"/>
  <c r="AB19" i="1" a="1"/>
  <c r="AB19" i="1" s="1"/>
  <c r="AB20" i="1" a="1"/>
  <c r="AB20" i="1" s="1"/>
  <c r="AB21" i="1" a="1"/>
  <c r="AB21" i="1"/>
  <c r="AL3" i="1"/>
  <c r="AL4" i="1" s="1"/>
  <c r="AL5" i="1" s="1"/>
  <c r="AL6" i="1" s="1"/>
  <c r="AL7" i="1" s="1"/>
  <c r="AL8" i="1" s="1"/>
  <c r="AL9" i="1" s="1"/>
  <c r="AL10" i="1" s="1"/>
  <c r="AL11" i="1" s="1"/>
  <c r="AL12" i="1" s="1"/>
  <c r="AL13" i="1" s="1"/>
  <c r="Y4" i="1" a="1"/>
  <c r="Y4" i="1" s="1"/>
  <c r="Z4" i="1"/>
  <c r="AA4" i="1"/>
  <c r="AD4" i="1"/>
  <c r="AE4" i="1"/>
  <c r="AF4" i="1"/>
  <c r="AG4" i="1" a="1"/>
  <c r="AG4" i="1" s="1"/>
  <c r="AI4" i="1" a="1"/>
  <c r="AI4" i="1" s="1"/>
  <c r="Y5" i="1" a="1"/>
  <c r="Y5" i="1"/>
  <c r="Z5" i="1"/>
  <c r="AA5" i="1"/>
  <c r="AC5" i="1" a="1"/>
  <c r="AC5" i="1" s="1"/>
  <c r="AD5" i="1"/>
  <c r="AE5" i="1"/>
  <c r="AF5" i="1"/>
  <c r="AG5" i="1" a="1"/>
  <c r="AG5" i="1" s="1"/>
  <c r="AH5" i="1" a="1"/>
  <c r="AH5" i="1" s="1"/>
  <c r="AI5" i="1" a="1"/>
  <c r="AI5" i="1" s="1"/>
  <c r="Y6" i="1" a="1"/>
  <c r="Y6" i="1" s="1"/>
  <c r="Z6" i="1"/>
  <c r="AA6" i="1"/>
  <c r="AC6" i="1" a="1"/>
  <c r="AC6" i="1" s="1"/>
  <c r="AD6" i="1"/>
  <c r="AE6" i="1"/>
  <c r="AF6" i="1"/>
  <c r="AG6" i="1" a="1"/>
  <c r="AG6" i="1"/>
  <c r="AH6" i="1" a="1"/>
  <c r="AH6" i="1" s="1"/>
  <c r="AI6" i="1" a="1"/>
  <c r="AI6" i="1" s="1"/>
  <c r="Y7" i="1" a="1"/>
  <c r="Y7" i="1" s="1"/>
  <c r="Z7" i="1"/>
  <c r="AA7" i="1"/>
  <c r="AC7" i="1" s="1" a="1"/>
  <c r="AC7" i="1" s="1"/>
  <c r="AD7" i="1"/>
  <c r="AE7" i="1"/>
  <c r="AF7" i="1"/>
  <c r="AG7" i="1" a="1"/>
  <c r="AG7" i="1"/>
  <c r="AH7" i="1" a="1"/>
  <c r="AH7" i="1" s="1"/>
  <c r="AI7" i="1" a="1"/>
  <c r="AI7" i="1" s="1"/>
  <c r="Y8" i="1" a="1"/>
  <c r="Y8" i="1" s="1"/>
  <c r="Z8" i="1"/>
  <c r="AA8" i="1"/>
  <c r="AD8" i="1"/>
  <c r="AE8" i="1"/>
  <c r="AF8" i="1"/>
  <c r="AG8" i="1" a="1"/>
  <c r="AG8" i="1" s="1"/>
  <c r="AI8" i="1" a="1"/>
  <c r="AI8" i="1" s="1"/>
  <c r="Y9" i="1" a="1"/>
  <c r="Y9" i="1"/>
  <c r="Z9" i="1"/>
  <c r="AA9" i="1"/>
  <c r="AH9" i="1" s="1" a="1"/>
  <c r="AH9" i="1" s="1"/>
  <c r="AD9" i="1"/>
  <c r="AE9" i="1"/>
  <c r="AF9" i="1"/>
  <c r="AG9" i="1" a="1"/>
  <c r="AG9" i="1" s="1"/>
  <c r="AI9" i="1" a="1"/>
  <c r="AI9" i="1" s="1"/>
  <c r="Y10" i="1" a="1"/>
  <c r="Y10" i="1"/>
  <c r="Z10" i="1"/>
  <c r="AA10" i="1"/>
  <c r="AD10" i="1"/>
  <c r="AE10" i="1"/>
  <c r="AF10" i="1"/>
  <c r="AG10" i="1" a="1"/>
  <c r="AG10" i="1"/>
  <c r="AI10" i="1" a="1"/>
  <c r="AI10" i="1" s="1"/>
  <c r="Y11" i="1" a="1"/>
  <c r="Y11" i="1" s="1"/>
  <c r="Z11" i="1"/>
  <c r="AA11" i="1"/>
  <c r="AD11" i="1"/>
  <c r="AE11" i="1"/>
  <c r="AF11" i="1"/>
  <c r="AG11" i="1" a="1"/>
  <c r="AG11" i="1" s="1"/>
  <c r="AI11" i="1" a="1"/>
  <c r="AI11" i="1"/>
  <c r="Y12" i="1" a="1"/>
  <c r="Y12" i="1" s="1"/>
  <c r="Z12" i="1"/>
  <c r="AA12" i="1"/>
  <c r="AH12" i="1" s="1" a="1"/>
  <c r="AH12" i="1" s="1"/>
  <c r="AD12" i="1"/>
  <c r="AE12" i="1"/>
  <c r="AF12" i="1"/>
  <c r="AG12" i="1" a="1"/>
  <c r="AG12" i="1" s="1"/>
  <c r="AI12" i="1" a="1"/>
  <c r="AI12" i="1" s="1"/>
  <c r="Y13" i="1" a="1"/>
  <c r="Y13" i="1"/>
  <c r="Z13" i="1"/>
  <c r="AA13" i="1"/>
  <c r="AC13" i="1" a="1"/>
  <c r="AC13" i="1" s="1"/>
  <c r="AD13" i="1"/>
  <c r="AE13" i="1"/>
  <c r="AF13" i="1"/>
  <c r="AG13" i="1" a="1"/>
  <c r="AG13" i="1" s="1"/>
  <c r="AI13" i="1" a="1"/>
  <c r="AI13" i="1" s="1"/>
  <c r="Y14" i="1" a="1"/>
  <c r="Y14" i="1" s="1"/>
  <c r="Z14" i="1"/>
  <c r="AA14" i="1"/>
  <c r="AD14" i="1"/>
  <c r="AE14" i="1"/>
  <c r="AF14" i="1"/>
  <c r="AG14" i="1" a="1"/>
  <c r="AG14" i="1"/>
  <c r="AH14" i="1" a="1"/>
  <c r="AH14" i="1" s="1"/>
  <c r="AI14" i="1" a="1"/>
  <c r="AI14" i="1" s="1"/>
  <c r="Y15" i="1" a="1"/>
  <c r="Y15" i="1" s="1"/>
  <c r="Z15" i="1"/>
  <c r="AA15" i="1"/>
  <c r="AC15" i="1" s="1" a="1"/>
  <c r="AC15" i="1" s="1"/>
  <c r="AD15" i="1"/>
  <c r="AE15" i="1"/>
  <c r="AF15" i="1"/>
  <c r="AG15" i="1" a="1"/>
  <c r="AG15" i="1"/>
  <c r="AI15" i="1" a="1"/>
  <c r="AI15" i="1" s="1"/>
  <c r="Y16" i="1" a="1"/>
  <c r="Y16" i="1" s="1"/>
  <c r="Z16" i="1"/>
  <c r="AA16" i="1"/>
  <c r="AD16" i="1"/>
  <c r="AE16" i="1"/>
  <c r="AF16" i="1"/>
  <c r="AG16" i="1" a="1"/>
  <c r="AG16" i="1" s="1"/>
  <c r="AI16" i="1" a="1"/>
  <c r="AI16" i="1" s="1"/>
  <c r="Y17" i="1" a="1"/>
  <c r="Y17" i="1"/>
  <c r="Z17" i="1"/>
  <c r="AA17" i="1"/>
  <c r="AH17" i="1" s="1" a="1"/>
  <c r="AH17" i="1" s="1"/>
  <c r="AD17" i="1"/>
  <c r="AE17" i="1"/>
  <c r="AF17" i="1"/>
  <c r="AG17" i="1" a="1"/>
  <c r="AG17" i="1" s="1"/>
  <c r="AI17" i="1" a="1"/>
  <c r="AI17" i="1" s="1"/>
  <c r="Y18" i="1" a="1"/>
  <c r="Y18" i="1"/>
  <c r="Z18" i="1"/>
  <c r="AA18" i="1"/>
  <c r="AD18" i="1"/>
  <c r="AE18" i="1"/>
  <c r="AF18" i="1"/>
  <c r="AG18" i="1" a="1"/>
  <c r="AG18" i="1"/>
  <c r="AI18" i="1" a="1"/>
  <c r="AI18" i="1" s="1"/>
  <c r="Y19" i="1" a="1"/>
  <c r="Y19" i="1" s="1"/>
  <c r="Z19" i="1"/>
  <c r="AA19" i="1"/>
  <c r="AD19" i="1"/>
  <c r="AE19" i="1"/>
  <c r="AF19" i="1"/>
  <c r="AG19" i="1" a="1"/>
  <c r="AG19" i="1" s="1"/>
  <c r="AI19" i="1" a="1"/>
  <c r="AI19" i="1" s="1"/>
  <c r="Y20" i="1" a="1"/>
  <c r="Y20" i="1" s="1"/>
  <c r="Z20" i="1"/>
  <c r="AA20" i="1"/>
  <c r="AD20" i="1"/>
  <c r="AE20" i="1"/>
  <c r="AF20" i="1"/>
  <c r="AG20" i="1" a="1"/>
  <c r="AG20" i="1" s="1"/>
  <c r="AI20" i="1" a="1"/>
  <c r="AI20" i="1" s="1"/>
  <c r="Y21" i="1" a="1"/>
  <c r="Y21" i="1"/>
  <c r="Z21" i="1"/>
  <c r="AA21" i="1"/>
  <c r="AC21" i="1" a="1"/>
  <c r="AC21" i="1" s="1"/>
  <c r="AD21" i="1"/>
  <c r="AE21" i="1"/>
  <c r="AF21" i="1"/>
  <c r="AG21" i="1" a="1"/>
  <c r="AG21" i="1"/>
  <c r="AI21" i="1" a="1"/>
  <c r="AI21" i="1" s="1"/>
  <c r="AI3" i="1" a="1"/>
  <c r="AI3" i="1" s="1"/>
  <c r="AG3" i="1" a="1"/>
  <c r="AG3" i="1" s="1"/>
  <c r="AF3" i="1"/>
  <c r="AE3" i="1"/>
  <c r="AD3" i="1"/>
  <c r="AA3" i="1"/>
  <c r="Z3" i="1"/>
  <c r="Y3" i="1" a="1"/>
  <c r="Y3" i="1" s="1"/>
  <c r="AI2" i="1" a="1"/>
  <c r="AI2" i="1" s="1"/>
  <c r="AG2" i="1" a="1"/>
  <c r="AG2" i="1" s="1"/>
  <c r="AF2" i="1"/>
  <c r="AE2" i="1"/>
  <c r="AD2" i="1"/>
  <c r="AA2" i="1"/>
  <c r="AC3" i="1" s="1" a="1"/>
  <c r="AC3" i="1" s="1"/>
  <c r="Z2" i="1"/>
  <c r="Y2" i="1" a="1"/>
  <c r="Y2" i="1" s="1"/>
  <c r="AC20" i="1" l="1" a="1"/>
  <c r="AC20" i="1" s="1"/>
  <c r="AH13" i="1" a="1"/>
  <c r="AH13" i="1" s="1"/>
  <c r="AC12" i="1" a="1"/>
  <c r="AC12" i="1" s="1"/>
  <c r="AC4" i="1" a="1"/>
  <c r="AC4" i="1" s="1"/>
  <c r="AH20" i="1" a="1"/>
  <c r="AH20" i="1" s="1"/>
  <c r="AC11" i="1" a="1"/>
  <c r="AC11" i="1" s="1"/>
  <c r="AH4" i="1" a="1"/>
  <c r="AH4" i="1" s="1"/>
  <c r="AH21" i="1" a="1"/>
  <c r="AH21" i="1" s="1"/>
  <c r="AH19" i="1" a="1"/>
  <c r="AH19" i="1" s="1"/>
  <c r="AC18" i="1" a="1"/>
  <c r="AC18" i="1" s="1"/>
  <c r="AH11" i="1" a="1"/>
  <c r="AH11" i="1" s="1"/>
  <c r="AC10" i="1" a="1"/>
  <c r="AC10" i="1" s="1"/>
  <c r="AC19" i="1" a="1"/>
  <c r="AC19" i="1" s="1"/>
  <c r="AH18" i="1" a="1"/>
  <c r="AH18" i="1" s="1"/>
  <c r="AC17" i="1" a="1"/>
  <c r="AC17" i="1" s="1"/>
  <c r="AH10" i="1" a="1"/>
  <c r="AH10" i="1" s="1"/>
  <c r="AC9" i="1" a="1"/>
  <c r="AC9" i="1" s="1"/>
  <c r="AC16" i="1" a="1"/>
  <c r="AC16" i="1" s="1"/>
  <c r="AC8" i="1" a="1"/>
  <c r="AC8" i="1" s="1"/>
  <c r="AH16" i="1" a="1"/>
  <c r="AH16" i="1" s="1"/>
  <c r="AH8" i="1" a="1"/>
  <c r="AH8" i="1" s="1"/>
  <c r="AH15" i="1" a="1"/>
  <c r="AH15" i="1" s="1"/>
  <c r="AC14" i="1" a="1"/>
  <c r="AC14" i="1" s="1"/>
  <c r="AB2" i="1" a="1"/>
  <c r="AB2" i="1" s="1"/>
  <c r="AH2" i="1" a="1"/>
  <c r="AH2" i="1" s="1"/>
  <c r="AC2" i="1" a="1"/>
  <c r="AC2" i="1" s="1"/>
  <c r="AH3" i="1" a="1"/>
  <c r="AH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<sst xmlns="http://schemas.openxmlformats.org/spreadsheetml/2006/main" count="407" uniqueCount="127">
  <si>
    <t>Sucursal</t>
  </si>
  <si>
    <t>Bodega</t>
  </si>
  <si>
    <t>NGuia</t>
  </si>
  <si>
    <t>Producto</t>
  </si>
  <si>
    <t>Mezcla</t>
  </si>
  <si>
    <t>Envase</t>
  </si>
  <si>
    <t>Sacos</t>
  </si>
  <si>
    <t>Forma Entrega</t>
  </si>
  <si>
    <t>Tipo Producto</t>
  </si>
  <si>
    <t>Año</t>
  </si>
  <si>
    <t>Mes</t>
  </si>
  <si>
    <t>Fecha</t>
  </si>
  <si>
    <t>Turno</t>
  </si>
  <si>
    <t>Manifiesto</t>
  </si>
  <si>
    <t>DDI</t>
  </si>
  <si>
    <t>RT</t>
  </si>
  <si>
    <t>DRM</t>
  </si>
  <si>
    <t>Patente</t>
  </si>
  <si>
    <t>Conductor</t>
  </si>
  <si>
    <t>Despacho</t>
  </si>
  <si>
    <t>Destino</t>
  </si>
  <si>
    <t>Ticket</t>
  </si>
  <si>
    <t>NPedido</t>
  </si>
  <si>
    <t>Usuario</t>
  </si>
  <si>
    <t>102438</t>
  </si>
  <si>
    <t>AMZC200823 MICROTEC 06-24-23</t>
  </si>
  <si>
    <t>Producto Simple</t>
  </si>
  <si>
    <t>00134 MAXISACOS 500</t>
  </si>
  <si>
    <t>Envasado</t>
  </si>
  <si>
    <t>Simple</t>
  </si>
  <si>
    <t>Enero</t>
  </si>
  <si>
    <t>Primer</t>
  </si>
  <si>
    <t>0</t>
  </si>
  <si>
    <t>BRDP91</t>
  </si>
  <si>
    <t>07672962-K</t>
  </si>
  <si>
    <t>Levante CNA Altobonito</t>
  </si>
  <si>
    <t>54833</t>
  </si>
  <si>
    <t>1</t>
  </si>
  <si>
    <t>102344</t>
  </si>
  <si>
    <t>AUREASMART40PLUS UREASMART40PLUS</t>
  </si>
  <si>
    <t>00171 SACO 25KG UREASMART</t>
  </si>
  <si>
    <t>NE8823</t>
  </si>
  <si>
    <t>00000000-0</t>
  </si>
  <si>
    <t>54824</t>
  </si>
  <si>
    <t>5</t>
  </si>
  <si>
    <t>102561</t>
  </si>
  <si>
    <t>00MPG037 NBPT INHIBIDOR DE UREASA</t>
  </si>
  <si>
    <t>ACTINEABRR ACTINEABRR</t>
  </si>
  <si>
    <t>00123 SACO 25KG GENERICO</t>
  </si>
  <si>
    <t>Mezclado</t>
  </si>
  <si>
    <t>BRCV87</t>
  </si>
  <si>
    <t>Despacho a  Cliente</t>
  </si>
  <si>
    <t>54840</t>
  </si>
  <si>
    <t>7</t>
  </si>
  <si>
    <t>102562</t>
  </si>
  <si>
    <t>102692</t>
  </si>
  <si>
    <t>BXBX48</t>
  </si>
  <si>
    <t>54857</t>
  </si>
  <si>
    <t>102559</t>
  </si>
  <si>
    <t>54841</t>
  </si>
  <si>
    <t>6</t>
  </si>
  <si>
    <t>102283</t>
  </si>
  <si>
    <t>UREASMART40PLUSR UREASMART40PLUSR</t>
  </si>
  <si>
    <t>54822</t>
  </si>
  <si>
    <t>3</t>
  </si>
  <si>
    <t>030124</t>
  </si>
  <si>
    <t>XP1373</t>
  </si>
  <si>
    <t>54820</t>
  </si>
  <si>
    <t>4</t>
  </si>
  <si>
    <t>00MPG019 GSAM</t>
  </si>
  <si>
    <t>102281</t>
  </si>
  <si>
    <t>UREASMART40R UREASMART 40</t>
  </si>
  <si>
    <t>00133 MAXISACOS 500 UREASMART</t>
  </si>
  <si>
    <t>102350</t>
  </si>
  <si>
    <t>102352</t>
  </si>
  <si>
    <t>102451</t>
  </si>
  <si>
    <t>UREASMART35R UREASMART35</t>
  </si>
  <si>
    <t>BPLK70</t>
  </si>
  <si>
    <t>54834</t>
  </si>
  <si>
    <t>103080</t>
  </si>
  <si>
    <t>MZC002264 SMARTBLEND 10-29-19</t>
  </si>
  <si>
    <t>DKDJ11</t>
  </si>
  <si>
    <t>11412590-3</t>
  </si>
  <si>
    <t>54870</t>
  </si>
  <si>
    <t>2</t>
  </si>
  <si>
    <t>102942</t>
  </si>
  <si>
    <t>UREASMART35 UREASMART 35</t>
  </si>
  <si>
    <t>54862</t>
  </si>
  <si>
    <t>103082</t>
  </si>
  <si>
    <t>FHSP82</t>
  </si>
  <si>
    <t>54871</t>
  </si>
  <si>
    <t>103094</t>
  </si>
  <si>
    <t>LL2789</t>
  </si>
  <si>
    <t>54872</t>
  </si>
  <si>
    <t>102959</t>
  </si>
  <si>
    <t>MZC200948 MZC 06-24-10</t>
  </si>
  <si>
    <t>RF7955</t>
  </si>
  <si>
    <t>54864</t>
  </si>
  <si>
    <t>102750</t>
  </si>
  <si>
    <t>MZC002259 MZC10-30-10</t>
  </si>
  <si>
    <t>XK3077</t>
  </si>
  <si>
    <t>CLIENTE 1</t>
  </si>
  <si>
    <t>CLIENTE 2</t>
  </si>
  <si>
    <t>Usuario 1</t>
  </si>
  <si>
    <t>CONTADOR</t>
  </si>
  <si>
    <t>SEMANA</t>
  </si>
  <si>
    <t>Formato</t>
  </si>
  <si>
    <t>CONTADOR n2</t>
  </si>
  <si>
    <t>x</t>
  </si>
  <si>
    <t>Día</t>
  </si>
  <si>
    <t>Formato 2</t>
  </si>
  <si>
    <t>Mes Numero</t>
  </si>
  <si>
    <t>Numero Turnos</t>
  </si>
  <si>
    <t>Numero Turnos 2</t>
  </si>
  <si>
    <t>Numero Turnos 3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</si>
  <si>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</si>
  <si>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</si>
  <si>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</si>
  <si>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</si>
  <si>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</si>
  <si>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</si>
  <si>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</si>
  <si>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</si>
  <si>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</si>
  <si>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</si>
  <si>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</si>
  <si>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ZONA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</si>
</sst>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18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0" fillId="0" borderId="2" xfId="0" applyNumberFormat="1" applyBorder="1"/>
    <xf numFmtId="41" fontId="2" fillId="0" borderId="1" xfId="1" applyFont="1" applyBorder="1" applyAlignment="1">
      <alignment horizontal="center"/>
    </xf>
    <xf numFmtId="0" fontId="0" fillId="0" borderId="2" xfId="0" applyBorder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/>
    <xf numFmtId="0" fontId="4" fillId="0" borderId="0" xfId="0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EC16-981D-48F5-B25B-378794D0CCD4}">
  <dimension ref="A1:AL21"/>
  <sheetViews>
    <sheetView tabSelected="1" workbookViewId="0">
      <selection activeCell="A2" sqref="A2"/>
    </sheetView>
  </sheetViews>
  <sheetFormatPr baseColWidth="10" defaultRowHeight="14.5" x14ac:dyDescent="0.35"/>
  <sheetData>
    <row r="1" spans="1:38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6" t="s">
        <v>104</v>
      </c>
      <c r="Z1" s="6" t="s">
        <v>105</v>
      </c>
      <c r="AA1" s="6" t="s">
        <v>106</v>
      </c>
      <c r="AB1" s="6" t="s">
        <v>107</v>
      </c>
      <c r="AC1" s="7" t="s">
        <v>108</v>
      </c>
      <c r="AD1" s="6" t="s">
        <v>109</v>
      </c>
      <c r="AE1" s="6" t="s">
        <v>110</v>
      </c>
      <c r="AF1" s="6" t="s">
        <v>111</v>
      </c>
      <c r="AG1" s="6" t="s">
        <v>112</v>
      </c>
      <c r="AH1" s="6" t="s">
        <v>113</v>
      </c>
      <c r="AI1" s="6" t="s">
        <v>114</v>
      </c>
    </row>
    <row r="2" spans="1:38" x14ac:dyDescent="0.35">
      <c r="A2" s="5" t="s">
        <v>101</v>
      </c>
      <c r="B2" s="5" t="s">
        <v>126</v>
      </c>
      <c r="C2" s="5" t="s">
        <v>24</v>
      </c>
      <c r="D2" s="5" t="s">
        <v>25</v>
      </c>
      <c r="E2" s="5" t="s">
        <v>26</v>
      </c>
      <c r="F2" s="5" t="s">
        <v>27</v>
      </c>
      <c r="G2" s="5">
        <v>60</v>
      </c>
      <c r="H2" s="5" t="s">
        <v>28</v>
      </c>
      <c r="I2" s="5" t="s">
        <v>29</v>
      </c>
      <c r="J2" s="5">
        <v>2026</v>
      </c>
      <c r="K2" s="5" t="s">
        <v>30</v>
      </c>
      <c r="L2" s="3">
        <v>45300</v>
      </c>
      <c r="M2" s="5" t="s">
        <v>31</v>
      </c>
      <c r="N2" s="5" t="s">
        <v>32</v>
      </c>
      <c r="O2" s="5" t="s">
        <v>32</v>
      </c>
      <c r="P2" s="5">
        <v>13387</v>
      </c>
      <c r="Q2" s="5">
        <v>0</v>
      </c>
      <c r="R2" s="5" t="s">
        <v>33</v>
      </c>
      <c r="S2" s="5" t="s">
        <v>34</v>
      </c>
      <c r="T2" s="5">
        <v>29.928000000000001</v>
      </c>
      <c r="U2" s="5" t="s">
        <v>35</v>
      </c>
      <c r="V2" s="5" t="s">
        <v>36</v>
      </c>
      <c r="W2" s="5" t="s">
        <v>37</v>
      </c>
      <c r="X2" s="5" t="s">
        <v>103</v>
      </c>
      <c r="Y2" s="8">
        <f t="array" ref="Y2">IF(SUMPRODUCT(($R2:R2=R2)*1,($L$2:L2=L2)*1)&gt;1,0,1)</f>
        <v>1</v>
      </c>
      <c r="Z2" s="8">
        <f>WEEKNUM(L2)-WEEKNUM(DATE(YEAR(L2),MONTH(L2),1))+1</f>
        <v>2</v>
      </c>
      <c r="AA2" s="8" t="str">
        <f>IF(ISNUMBER(FIND("MAXI",F2)),"MAXISACOS",IF(ISNUMBER(FIND("25",F2)),"SACOS",IF(ISNUMBER(FIND("Granel",F2)),"Granel","ENSACADO PALLET")))</f>
        <v>MAXISACOS</v>
      </c>
      <c r="AB2" s="8" cm="1">
        <f t="array" ref="AB2">IF(SUMPRODUCT(($AA$2:AA2=AA2)*1,($R$2:R2=R2)*1,($L$2:L2=L2)*1)&gt;1,0,1)</f>
        <v>1</v>
      </c>
      <c r="AC2" cm="1">
        <f t="array" ref="AC2">IF(SUMPRODUCT(($AA$2:AA2=AA2)*1,($R$2:R2=R2)*1,($L$2:L2=L2)*1,($C$2:C2=C2)*1)&gt;1,0,1)</f>
        <v>1</v>
      </c>
      <c r="AD2">
        <f>DAY(L2)</f>
        <v>9</v>
      </c>
      <c r="AE2" t="str">
        <f>IF(ISNUMBER(FIND("Despacho",U2)),"Despachado",IF(ISNUMBER(FIND("Levante",U2)),"Levante",IF(ISNUMBER(FIND("Aperchado",U2)),"Aperchado")))</f>
        <v>Levante</v>
      </c>
      <c r="AF2">
        <f>VLOOKUP(K2,$AK$2:$AL$13,2,0)</f>
        <v>1</v>
      </c>
      <c r="AG2" cm="1">
        <f t="array" ref="AG2">IF(SUMPRODUCT(($M2:M2=R2)*1,($L$2:L2=L2)*1)&gt;1,0,1)</f>
        <v>1</v>
      </c>
      <c r="AH2" cm="1">
        <f t="array" ref="AH2">IF(SUMPRODUCT(($AA$2:AA2=AA2)*1,($A$2:A2=A2)*1,($B$2:B2=B2)*1,($M$2:M2=R2)*1,($L$2:L2=L2)*1)&gt;1,0,1)</f>
        <v>1</v>
      </c>
      <c r="AI2" cm="1">
        <f t="array" ref="AI2">IF(SUMPRODUCT(($A$2:A2=A2)*1,($B$2:B2=B2)*1,($M$2:M2=R2)*1,($L$2:L2=L2)*1)&gt;1,0,1)</f>
        <v>1</v>
      </c>
      <c r="AK2" s="9" t="s">
        <v>30</v>
      </c>
      <c r="AL2">
        <v>1</v>
      </c>
    </row>
    <row r="3" spans="1:38" x14ac:dyDescent="0.35">
      <c r="A3" s="5" t="s">
        <v>101</v>
      </c>
      <c r="B3" s="5" t="s">
        <v>126</v>
      </c>
      <c r="C3" s="5" t="s">
        <v>38</v>
      </c>
      <c r="D3" s="5" t="s">
        <v>39</v>
      </c>
      <c r="E3" s="5" t="s">
        <v>26</v>
      </c>
      <c r="F3" s="5" t="s">
        <v>40</v>
      </c>
      <c r="G3" s="5">
        <v>200</v>
      </c>
      <c r="H3" s="5" t="s">
        <v>28</v>
      </c>
      <c r="I3" s="5" t="s">
        <v>29</v>
      </c>
      <c r="J3" s="5">
        <v>2026</v>
      </c>
      <c r="K3" s="5" t="s">
        <v>30</v>
      </c>
      <c r="L3" s="3">
        <v>45295</v>
      </c>
      <c r="M3" s="5" t="s">
        <v>31</v>
      </c>
      <c r="N3" s="5" t="s">
        <v>32</v>
      </c>
      <c r="O3" s="5" t="s">
        <v>32</v>
      </c>
      <c r="P3" s="5">
        <v>13385</v>
      </c>
      <c r="Q3" s="5">
        <v>0</v>
      </c>
      <c r="R3" s="5" t="s">
        <v>41</v>
      </c>
      <c r="S3" s="5" t="s">
        <v>42</v>
      </c>
      <c r="T3" s="5">
        <v>4.9885999999999999</v>
      </c>
      <c r="U3" s="5" t="s">
        <v>35</v>
      </c>
      <c r="V3" s="5" t="s">
        <v>43</v>
      </c>
      <c r="W3" s="5" t="s">
        <v>44</v>
      </c>
      <c r="X3" s="5" t="s">
        <v>103</v>
      </c>
      <c r="Y3" s="8">
        <f t="array" ref="Y3">IF(SUMPRODUCT(($R$2:R3=R3)*1,($L$2:L3=L3)*1)&gt;1,0,1)</f>
        <v>1</v>
      </c>
      <c r="Z3" s="8">
        <f t="shared" ref="Z3" si="0">WEEKNUM(L3)-WEEKNUM(DATE(YEAR(L3),MONTH(L3),1))+1</f>
        <v>1</v>
      </c>
      <c r="AA3" s="8" t="str">
        <f t="shared" ref="AA3" si="1">IF(ISNUMBER(FIND("MAXI",F3)),"MAXISACOS",IF(ISNUMBER(FIND("25",F3)),"SACOS",IF(ISNUMBER(FIND("Granel",F3)),"Granel","ENSACADO PALLET")))</f>
        <v>SACOS</v>
      </c>
      <c r="AB3" s="8" cm="1">
        <f t="array" ref="AB3">IF(SUMPRODUCT(($AA$2:AA3=AA3)*1,($R$2:R3=R3)*1,($L$2:L3=L3)*1)&gt;1,0,1)</f>
        <v>1</v>
      </c>
      <c r="AC3" cm="1">
        <f t="array" ref="AC3">IF(SUMPRODUCT(($AA$2:AA3=AA3)*1,($R$2:R3=R3)*1,($L$2:L3=L3)*1,($C$2:C3=C3)*1)&gt;1,0,1)</f>
        <v>1</v>
      </c>
      <c r="AD3">
        <f t="shared" ref="AD3" si="2">DAY(L3)</f>
        <v>4</v>
      </c>
      <c r="AE3" t="str">
        <f t="shared" ref="AE3" si="3">IF(ISNUMBER(FIND("Despacho",U3)),"Despachado",IF(ISNUMBER(FIND("Levante",U3)),"Levante",IF(ISNUMBER(FIND("Aperchado",U3)),"Aperchado")))</f>
        <v>Levante</v>
      </c>
      <c r="AF3">
        <f t="shared" ref="AF3" si="4">VLOOKUP(K3,$AK$2:$AL$13,2,0)</f>
        <v>1</v>
      </c>
      <c r="AG3" cm="1">
        <f t="array" ref="AG3">IF(SUMPRODUCT(($M$2:M3=M3)*1,($L$2:L3=L3)*1)&gt;1,0,1)</f>
        <v>1</v>
      </c>
      <c r="AH3" cm="1">
        <f t="array" ref="AH3">IF(SUMPRODUCT(($AA$2:AA3=AA3)*1,($A$2:A3=A3)*1,($B$2:B3=B3)*1,($M$2:M3=M3)*1,($L$2:L3=L3)*1)&gt;1,0,1)</f>
        <v>1</v>
      </c>
      <c r="AI3" cm="1">
        <f t="array" ref="AI3">IF(SUMPRODUCT(($A$2:A3=A3)*1,($B$2:B3=B3)*1,($M$2:M3=M3)*1,($L$2:L3=L3)*1)&gt;1,0,1)</f>
        <v>1</v>
      </c>
      <c r="AK3" s="9" t="s">
        <v>115</v>
      </c>
      <c r="AL3">
        <f>+AL2+1</f>
        <v>2</v>
      </c>
    </row>
    <row r="4" spans="1:38" x14ac:dyDescent="0.35">
      <c r="A4" s="5" t="s">
        <v>101</v>
      </c>
      <c r="B4" s="5" t="s">
        <v>126</v>
      </c>
      <c r="C4" s="5" t="s">
        <v>45</v>
      </c>
      <c r="D4" s="5" t="s">
        <v>46</v>
      </c>
      <c r="E4" s="5" t="s">
        <v>47</v>
      </c>
      <c r="F4" s="5" t="s">
        <v>48</v>
      </c>
      <c r="G4" s="5">
        <v>400</v>
      </c>
      <c r="H4" s="5" t="s">
        <v>28</v>
      </c>
      <c r="I4" s="5" t="s">
        <v>49</v>
      </c>
      <c r="J4" s="5">
        <v>2026</v>
      </c>
      <c r="K4" s="5" t="s">
        <v>30</v>
      </c>
      <c r="L4" s="3">
        <v>45303</v>
      </c>
      <c r="M4" s="5" t="s">
        <v>31</v>
      </c>
      <c r="N4" s="5" t="s">
        <v>32</v>
      </c>
      <c r="O4" s="5" t="s">
        <v>32</v>
      </c>
      <c r="P4" s="5">
        <v>9001</v>
      </c>
      <c r="Q4" s="5">
        <v>0</v>
      </c>
      <c r="R4" s="5" t="s">
        <v>50</v>
      </c>
      <c r="S4" s="5" t="s">
        <v>42</v>
      </c>
      <c r="T4" s="5">
        <v>2.5999999999999999E-2</v>
      </c>
      <c r="U4" s="5" t="s">
        <v>51</v>
      </c>
      <c r="V4" s="5" t="s">
        <v>52</v>
      </c>
      <c r="W4" s="5" t="s">
        <v>53</v>
      </c>
      <c r="X4" s="5" t="s">
        <v>103</v>
      </c>
      <c r="Y4" s="8">
        <f t="array" ref="Y4">IF(SUMPRODUCT(($R$2:R4=R4)*1,($L$2:L4=L4)*1)&gt;1,0,1)</f>
        <v>1</v>
      </c>
      <c r="Z4" s="8">
        <f t="shared" ref="Z4:Z21" si="5">WEEKNUM(L4)-WEEKNUM(DATE(YEAR(L4),MONTH(L4),1))+1</f>
        <v>2</v>
      </c>
      <c r="AA4" s="8" t="str">
        <f t="shared" ref="AA4:AA21" si="6">IF(ISNUMBER(FIND("MAXI",F4)),"MAXISACOS",IF(ISNUMBER(FIND("25",F4)),"SACOS",IF(ISNUMBER(FIND("Granel",F4)),"Granel","ENSACADO PALLET")))</f>
        <v>SACOS</v>
      </c>
      <c r="AB4" s="8" cm="1">
        <f t="array" ref="AB4">IF(SUMPRODUCT(($AA$2:AA4=AA4)*1,($R$2:R4=R4)*1,($L$2:L4=L4)*1)&gt;1,0,1)</f>
        <v>1</v>
      </c>
      <c r="AC4" cm="1">
        <f t="array" ref="AC4">IF(SUMPRODUCT(($AA$2:AA4=AA4)*1,($R$2:R4=R4)*1,($L$2:L4=L4)*1,($C$2:C4=C4)*1)&gt;1,0,1)</f>
        <v>1</v>
      </c>
      <c r="AD4">
        <f t="shared" ref="AD4:AD21" si="7">DAY(L4)</f>
        <v>12</v>
      </c>
      <c r="AE4" t="str">
        <f t="shared" ref="AE4:AE21" si="8">IF(ISNUMBER(FIND("Despacho",U4)),"Despachado",IF(ISNUMBER(FIND("Levante",U4)),"Levante",IF(ISNUMBER(FIND("Aperchado",U4)),"Aperchado")))</f>
        <v>Despachado</v>
      </c>
      <c r="AF4">
        <f t="shared" ref="AF4:AF21" si="9">VLOOKUP(K4,$AK$2:$AL$13,2,0)</f>
        <v>1</v>
      </c>
      <c r="AG4" cm="1">
        <f t="array" ref="AG4">IF(SUMPRODUCT(($M$2:M4=M4)*1,($L$2:L4=L4)*1)&gt;1,0,1)</f>
        <v>1</v>
      </c>
      <c r="AH4" cm="1">
        <f t="array" ref="AH4">IF(SUMPRODUCT(($AA$2:AA4=AA4)*1,($A$2:A4=A4)*1,($B$2:B4=B4)*1,($M$2:M4=M4)*1,($L$2:L4=L4)*1)&gt;1,0,1)</f>
        <v>1</v>
      </c>
      <c r="AI4" cm="1">
        <f t="array" ref="AI4">IF(SUMPRODUCT(($A$2:A4=A4)*1,($B$2:B4=B4)*1,($M$2:M4=M4)*1,($L$2:L4=L4)*1)&gt;1,0,1)</f>
        <v>1</v>
      </c>
      <c r="AK4" s="9" t="s">
        <v>116</v>
      </c>
      <c r="AL4">
        <f t="shared" ref="AL4:AL13" si="10">+AL3+1</f>
        <v>3</v>
      </c>
    </row>
    <row r="5" spans="1:38" x14ac:dyDescent="0.35">
      <c r="A5" s="5" t="s">
        <v>101</v>
      </c>
      <c r="B5" s="5" t="s">
        <v>126</v>
      </c>
      <c r="C5" s="5" t="s">
        <v>54</v>
      </c>
      <c r="D5" s="5" t="s">
        <v>46</v>
      </c>
      <c r="E5" s="5" t="s">
        <v>47</v>
      </c>
      <c r="F5" s="5" t="s">
        <v>48</v>
      </c>
      <c r="G5" s="5">
        <v>400</v>
      </c>
      <c r="H5" s="5" t="s">
        <v>28</v>
      </c>
      <c r="I5" s="5" t="s">
        <v>49</v>
      </c>
      <c r="J5" s="5">
        <v>2026</v>
      </c>
      <c r="K5" s="5" t="s">
        <v>30</v>
      </c>
      <c r="L5" s="3">
        <v>45303</v>
      </c>
      <c r="M5" s="5" t="s">
        <v>31</v>
      </c>
      <c r="N5" s="5" t="s">
        <v>32</v>
      </c>
      <c r="O5" s="5" t="s">
        <v>32</v>
      </c>
      <c r="P5" s="5">
        <v>9001</v>
      </c>
      <c r="Q5" s="5">
        <v>0</v>
      </c>
      <c r="R5" s="5" t="s">
        <v>50</v>
      </c>
      <c r="S5" s="5" t="s">
        <v>42</v>
      </c>
      <c r="T5" s="5">
        <v>2.5999999999999999E-2</v>
      </c>
      <c r="U5" s="5" t="s">
        <v>51</v>
      </c>
      <c r="V5" s="5" t="s">
        <v>52</v>
      </c>
      <c r="W5" s="5" t="s">
        <v>53</v>
      </c>
      <c r="X5" s="5" t="s">
        <v>103</v>
      </c>
      <c r="Y5" s="8">
        <f t="array" ref="Y5">IF(SUMPRODUCT(($R$2:R5=R5)*1,($L$2:L5=L5)*1)&gt;1,0,1)</f>
        <v>0</v>
      </c>
      <c r="Z5" s="8">
        <f t="shared" si="5"/>
        <v>2</v>
      </c>
      <c r="AA5" s="8" t="str">
        <f t="shared" si="6"/>
        <v>SACOS</v>
      </c>
      <c r="AB5" s="8" cm="1">
        <f t="array" ref="AB5">IF(SUMPRODUCT(($AA$2:AA5=AA5)*1,($R$2:R5=R5)*1,($L$2:L5=L5)*1)&gt;1,0,1)</f>
        <v>0</v>
      </c>
      <c r="AC5" cm="1">
        <f t="array" ref="AC5">IF(SUMPRODUCT(($AA$2:AA5=AA5)*1,($R$2:R5=R5)*1,($L$2:L5=L5)*1,($C$2:C5=C5)*1)&gt;1,0,1)</f>
        <v>1</v>
      </c>
      <c r="AD5">
        <f t="shared" si="7"/>
        <v>12</v>
      </c>
      <c r="AE5" t="str">
        <f t="shared" si="8"/>
        <v>Despachado</v>
      </c>
      <c r="AF5">
        <f t="shared" si="9"/>
        <v>1</v>
      </c>
      <c r="AG5" cm="1">
        <f t="array" ref="AG5">IF(SUMPRODUCT(($M$2:M5=M5)*1,($L$2:L5=L5)*1)&gt;1,0,1)</f>
        <v>0</v>
      </c>
      <c r="AH5" cm="1">
        <f t="array" ref="AH5">IF(SUMPRODUCT(($AA$2:AA5=AA5)*1,($A$2:A5=A5)*1,($B$2:B5=B5)*1,($M$2:M5=M5)*1,($L$2:L5=L5)*1)&gt;1,0,1)</f>
        <v>0</v>
      </c>
      <c r="AI5" cm="1">
        <f t="array" ref="AI5">IF(SUMPRODUCT(($A$2:A5=A5)*1,($B$2:B5=B5)*1,($M$2:M5=M5)*1,($L$2:L5=L5)*1)&gt;1,0,1)</f>
        <v>0</v>
      </c>
      <c r="AK5" s="9" t="s">
        <v>117</v>
      </c>
      <c r="AL5">
        <f t="shared" si="10"/>
        <v>4</v>
      </c>
    </row>
    <row r="6" spans="1:38" x14ac:dyDescent="0.35">
      <c r="A6" s="5" t="s">
        <v>101</v>
      </c>
      <c r="B6" s="5" t="s">
        <v>126</v>
      </c>
      <c r="C6" s="5" t="s">
        <v>55</v>
      </c>
      <c r="D6" s="5" t="s">
        <v>46</v>
      </c>
      <c r="E6" s="5" t="s">
        <v>47</v>
      </c>
      <c r="F6" s="5" t="s">
        <v>27</v>
      </c>
      <c r="G6" s="5">
        <v>60</v>
      </c>
      <c r="H6" s="5" t="s">
        <v>28</v>
      </c>
      <c r="I6" s="5" t="s">
        <v>49</v>
      </c>
      <c r="J6" s="5">
        <v>2026</v>
      </c>
      <c r="K6" s="5" t="s">
        <v>30</v>
      </c>
      <c r="L6" s="3">
        <v>45308</v>
      </c>
      <c r="M6" s="5" t="s">
        <v>31</v>
      </c>
      <c r="N6" s="5" t="s">
        <v>32</v>
      </c>
      <c r="O6" s="5" t="s">
        <v>32</v>
      </c>
      <c r="P6" s="5">
        <v>9001</v>
      </c>
      <c r="Q6" s="5">
        <v>0</v>
      </c>
      <c r="R6" s="5" t="s">
        <v>56</v>
      </c>
      <c r="S6" s="5" t="s">
        <v>42</v>
      </c>
      <c r="T6" s="5">
        <v>7.7899999999999997E-2</v>
      </c>
      <c r="U6" s="5" t="s">
        <v>51</v>
      </c>
      <c r="V6" s="5" t="s">
        <v>57</v>
      </c>
      <c r="W6" s="5" t="s">
        <v>37</v>
      </c>
      <c r="X6" s="5" t="s">
        <v>103</v>
      </c>
      <c r="Y6" s="8">
        <f t="array" ref="Y6">IF(SUMPRODUCT(($R$2:R6=R6)*1,($L$2:L6=L6)*1)&gt;1,0,1)</f>
        <v>1</v>
      </c>
      <c r="Z6" s="8">
        <f t="shared" si="5"/>
        <v>3</v>
      </c>
      <c r="AA6" s="8" t="str">
        <f t="shared" si="6"/>
        <v>MAXISACOS</v>
      </c>
      <c r="AB6" s="8" cm="1">
        <f t="array" ref="AB6">IF(SUMPRODUCT(($AA$2:AA6=AA6)*1,($R$2:R6=R6)*1,($L$2:L6=L6)*1)&gt;1,0,1)</f>
        <v>1</v>
      </c>
      <c r="AC6" cm="1">
        <f t="array" ref="AC6">IF(SUMPRODUCT(($AA$2:AA6=AA6)*1,($R$2:R6=R6)*1,($L$2:L6=L6)*1,($C$2:C6=C6)*1)&gt;1,0,1)</f>
        <v>1</v>
      </c>
      <c r="AD6">
        <f t="shared" si="7"/>
        <v>17</v>
      </c>
      <c r="AE6" t="str">
        <f t="shared" si="8"/>
        <v>Despachado</v>
      </c>
      <c r="AF6">
        <f t="shared" si="9"/>
        <v>1</v>
      </c>
      <c r="AG6" cm="1">
        <f t="array" ref="AG6">IF(SUMPRODUCT(($M$2:M6=M6)*1,($L$2:L6=L6)*1)&gt;1,0,1)</f>
        <v>1</v>
      </c>
      <c r="AH6" cm="1">
        <f t="array" ref="AH6">IF(SUMPRODUCT(($AA$2:AA6=AA6)*1,($A$2:A6=A6)*1,($B$2:B6=B6)*1,($M$2:M6=M6)*1,($L$2:L6=L6)*1)&gt;1,0,1)</f>
        <v>1</v>
      </c>
      <c r="AI6" cm="1">
        <f t="array" ref="AI6">IF(SUMPRODUCT(($A$2:A6=A6)*1,($B$2:B6=B6)*1,($M$2:M6=M6)*1,($L$2:L6=L6)*1)&gt;1,0,1)</f>
        <v>1</v>
      </c>
      <c r="AK6" s="9" t="s">
        <v>118</v>
      </c>
      <c r="AL6">
        <f t="shared" si="10"/>
        <v>5</v>
      </c>
    </row>
    <row r="7" spans="1:38" x14ac:dyDescent="0.35">
      <c r="A7" s="5" t="s">
        <v>101</v>
      </c>
      <c r="B7" s="5" t="s">
        <v>126</v>
      </c>
      <c r="C7" s="5" t="s">
        <v>58</v>
      </c>
      <c r="D7" s="5" t="s">
        <v>46</v>
      </c>
      <c r="E7" s="5" t="s">
        <v>47</v>
      </c>
      <c r="F7" s="5" t="s">
        <v>27</v>
      </c>
      <c r="G7" s="5">
        <v>34</v>
      </c>
      <c r="H7" s="5" t="s">
        <v>28</v>
      </c>
      <c r="I7" s="5" t="s">
        <v>49</v>
      </c>
      <c r="J7" s="5">
        <v>2026</v>
      </c>
      <c r="K7" s="5" t="s">
        <v>30</v>
      </c>
      <c r="L7" s="3">
        <v>45303</v>
      </c>
      <c r="M7" s="5" t="s">
        <v>31</v>
      </c>
      <c r="N7" s="5" t="s">
        <v>32</v>
      </c>
      <c r="O7" s="5" t="s">
        <v>32</v>
      </c>
      <c r="P7" s="5">
        <v>9001</v>
      </c>
      <c r="Q7" s="5">
        <v>0</v>
      </c>
      <c r="R7" s="5" t="s">
        <v>41</v>
      </c>
      <c r="S7" s="5" t="s">
        <v>42</v>
      </c>
      <c r="T7" s="5">
        <v>4.41E-2</v>
      </c>
      <c r="U7" s="5" t="s">
        <v>51</v>
      </c>
      <c r="V7" s="5" t="s">
        <v>59</v>
      </c>
      <c r="W7" s="5" t="s">
        <v>60</v>
      </c>
      <c r="X7" s="5" t="s">
        <v>103</v>
      </c>
      <c r="Y7" s="8">
        <f t="array" ref="Y7">IF(SUMPRODUCT(($R$2:R7=R7)*1,($L$2:L7=L7)*1)&gt;1,0,1)</f>
        <v>1</v>
      </c>
      <c r="Z7" s="8">
        <f t="shared" si="5"/>
        <v>2</v>
      </c>
      <c r="AA7" s="8" t="str">
        <f t="shared" si="6"/>
        <v>MAXISACOS</v>
      </c>
      <c r="AB7" s="8" cm="1">
        <f t="array" ref="AB7">IF(SUMPRODUCT(($AA$2:AA7=AA7)*1,($R$2:R7=R7)*1,($L$2:L7=L7)*1)&gt;1,0,1)</f>
        <v>1</v>
      </c>
      <c r="AC7" cm="1">
        <f t="array" ref="AC7">IF(SUMPRODUCT(($AA$2:AA7=AA7)*1,($R$2:R7=R7)*1,($L$2:L7=L7)*1,($C$2:C7=C7)*1)&gt;1,0,1)</f>
        <v>1</v>
      </c>
      <c r="AD7">
        <f t="shared" si="7"/>
        <v>12</v>
      </c>
      <c r="AE7" t="str">
        <f t="shared" si="8"/>
        <v>Despachado</v>
      </c>
      <c r="AF7">
        <f t="shared" si="9"/>
        <v>1</v>
      </c>
      <c r="AG7" cm="1">
        <f t="array" ref="AG7">IF(SUMPRODUCT(($M$2:M7=M7)*1,($L$2:L7=L7)*1)&gt;1,0,1)</f>
        <v>0</v>
      </c>
      <c r="AH7" cm="1">
        <f t="array" ref="AH7">IF(SUMPRODUCT(($AA$2:AA7=AA7)*1,($A$2:A7=A7)*1,($B$2:B7=B7)*1,($M$2:M7=M7)*1,($L$2:L7=L7)*1)&gt;1,0,1)</f>
        <v>1</v>
      </c>
      <c r="AI7" cm="1">
        <f t="array" ref="AI7">IF(SUMPRODUCT(($A$2:A7=A7)*1,($B$2:B7=B7)*1,($M$2:M7=M7)*1,($L$2:L7=L7)*1)&gt;1,0,1)</f>
        <v>0</v>
      </c>
      <c r="AK7" s="9" t="s">
        <v>119</v>
      </c>
      <c r="AL7">
        <f t="shared" si="10"/>
        <v>6</v>
      </c>
    </row>
    <row r="8" spans="1:38" x14ac:dyDescent="0.35">
      <c r="A8" s="5" t="s">
        <v>102</v>
      </c>
      <c r="B8" s="5" t="s">
        <v>126</v>
      </c>
      <c r="C8" s="5" t="s">
        <v>61</v>
      </c>
      <c r="D8" s="5" t="s">
        <v>46</v>
      </c>
      <c r="E8" s="5" t="s">
        <v>62</v>
      </c>
      <c r="F8" s="5" t="s">
        <v>40</v>
      </c>
      <c r="G8" s="5">
        <v>200</v>
      </c>
      <c r="H8" s="5" t="s">
        <v>28</v>
      </c>
      <c r="I8" s="5" t="s">
        <v>49</v>
      </c>
      <c r="J8" s="5">
        <v>2026</v>
      </c>
      <c r="K8" s="5" t="s">
        <v>30</v>
      </c>
      <c r="L8" s="3">
        <v>45294</v>
      </c>
      <c r="M8" s="5" t="s">
        <v>31</v>
      </c>
      <c r="N8" s="5" t="s">
        <v>32</v>
      </c>
      <c r="O8" s="5" t="s">
        <v>32</v>
      </c>
      <c r="P8" s="5">
        <v>9001</v>
      </c>
      <c r="Q8" s="5">
        <v>0</v>
      </c>
      <c r="R8" s="5" t="s">
        <v>56</v>
      </c>
      <c r="S8" s="5" t="s">
        <v>42</v>
      </c>
      <c r="T8" s="5">
        <v>9.4999999999999998E-3</v>
      </c>
      <c r="U8" s="5" t="s">
        <v>51</v>
      </c>
      <c r="V8" s="5" t="s">
        <v>63</v>
      </c>
      <c r="W8" s="5" t="s">
        <v>64</v>
      </c>
      <c r="X8" s="5" t="s">
        <v>103</v>
      </c>
      <c r="Y8" s="8">
        <f t="array" ref="Y8">IF(SUMPRODUCT(($R$2:R8=R8)*1,($L$2:L8=L8)*1)&gt;1,0,1)</f>
        <v>1</v>
      </c>
      <c r="Z8" s="8">
        <f t="shared" si="5"/>
        <v>1</v>
      </c>
      <c r="AA8" s="8" t="str">
        <f t="shared" si="6"/>
        <v>SACOS</v>
      </c>
      <c r="AB8" s="8" cm="1">
        <f t="array" ref="AB8">IF(SUMPRODUCT(($AA$2:AA8=AA8)*1,($R$2:R8=R8)*1,($L$2:L8=L8)*1)&gt;1,0,1)</f>
        <v>1</v>
      </c>
      <c r="AC8" cm="1">
        <f t="array" ref="AC8">IF(SUMPRODUCT(($AA$2:AA8=AA8)*1,($R$2:R8=R8)*1,($L$2:L8=L8)*1,($C$2:C8=C8)*1)&gt;1,0,1)</f>
        <v>1</v>
      </c>
      <c r="AD8">
        <f t="shared" si="7"/>
        <v>3</v>
      </c>
      <c r="AE8" t="str">
        <f t="shared" si="8"/>
        <v>Despachado</v>
      </c>
      <c r="AF8">
        <f t="shared" si="9"/>
        <v>1</v>
      </c>
      <c r="AG8" cm="1">
        <f t="array" ref="AG8">IF(SUMPRODUCT(($M$2:M8=M8)*1,($L$2:L8=L8)*1)&gt;1,0,1)</f>
        <v>1</v>
      </c>
      <c r="AH8" cm="1">
        <f t="array" ref="AH8">IF(SUMPRODUCT(($AA$2:AA8=AA8)*1,($A$2:A8=A8)*1,($B$2:B8=B8)*1,($M$2:M8=M8)*1,($L$2:L8=L8)*1)&gt;1,0,1)</f>
        <v>1</v>
      </c>
      <c r="AI8" cm="1">
        <f t="array" ref="AI8">IF(SUMPRODUCT(($A$2:A8=A8)*1,($B$2:B8=B8)*1,($M$2:M8=M8)*1,($L$2:L8=L8)*1)&gt;1,0,1)</f>
        <v>1</v>
      </c>
      <c r="AK8" s="9" t="s">
        <v>120</v>
      </c>
      <c r="AL8">
        <f t="shared" si="10"/>
        <v>7</v>
      </c>
    </row>
    <row r="9" spans="1:38" x14ac:dyDescent="0.35">
      <c r="A9" s="5" t="s">
        <v>102</v>
      </c>
      <c r="B9" s="5" t="s">
        <v>126</v>
      </c>
      <c r="C9" s="5" t="s">
        <v>65</v>
      </c>
      <c r="D9" s="5" t="s">
        <v>46</v>
      </c>
      <c r="E9" s="5" t="s">
        <v>62</v>
      </c>
      <c r="F9" s="5" t="s">
        <v>40</v>
      </c>
      <c r="G9" s="5">
        <v>200</v>
      </c>
      <c r="H9" s="5" t="s">
        <v>28</v>
      </c>
      <c r="I9" s="5" t="s">
        <v>49</v>
      </c>
      <c r="J9" s="5">
        <v>2026</v>
      </c>
      <c r="K9" s="5" t="s">
        <v>30</v>
      </c>
      <c r="L9" s="3">
        <v>45294</v>
      </c>
      <c r="M9" s="5" t="s">
        <v>31</v>
      </c>
      <c r="N9" s="5" t="s">
        <v>32</v>
      </c>
      <c r="O9" s="5" t="s">
        <v>32</v>
      </c>
      <c r="P9" s="5">
        <v>9001</v>
      </c>
      <c r="Q9" s="5">
        <v>0</v>
      </c>
      <c r="R9" s="5" t="s">
        <v>66</v>
      </c>
      <c r="S9" s="5" t="s">
        <v>42</v>
      </c>
      <c r="T9" s="5">
        <v>9.4999999999999998E-3</v>
      </c>
      <c r="U9" s="5" t="s">
        <v>51</v>
      </c>
      <c r="V9" s="5" t="s">
        <v>67</v>
      </c>
      <c r="W9" s="5" t="s">
        <v>68</v>
      </c>
      <c r="X9" s="5" t="s">
        <v>103</v>
      </c>
      <c r="Y9" s="8">
        <f t="array" ref="Y9">IF(SUMPRODUCT(($R$2:R9=R9)*1,($L$2:L9=L9)*1)&gt;1,0,1)</f>
        <v>1</v>
      </c>
      <c r="Z9" s="8">
        <f t="shared" si="5"/>
        <v>1</v>
      </c>
      <c r="AA9" s="8" t="str">
        <f t="shared" si="6"/>
        <v>SACOS</v>
      </c>
      <c r="AB9" s="8" cm="1">
        <f t="array" ref="AB9">IF(SUMPRODUCT(($AA$2:AA9=AA9)*1,($R$2:R9=R9)*1,($L$2:L9=L9)*1)&gt;1,0,1)</f>
        <v>1</v>
      </c>
      <c r="AC9" cm="1">
        <f t="array" ref="AC9">IF(SUMPRODUCT(($AA$2:AA9=AA9)*1,($R$2:R9=R9)*1,($L$2:L9=L9)*1,($C$2:C9=C9)*1)&gt;1,0,1)</f>
        <v>1</v>
      </c>
      <c r="AD9">
        <f t="shared" si="7"/>
        <v>3</v>
      </c>
      <c r="AE9" t="str">
        <f t="shared" si="8"/>
        <v>Despachado</v>
      </c>
      <c r="AF9">
        <f t="shared" si="9"/>
        <v>1</v>
      </c>
      <c r="AG9" cm="1">
        <f t="array" ref="AG9">IF(SUMPRODUCT(($M$2:M9=M9)*1,($L$2:L9=L9)*1)&gt;1,0,1)</f>
        <v>0</v>
      </c>
      <c r="AH9" cm="1">
        <f t="array" ref="AH9">IF(SUMPRODUCT(($AA$2:AA9=AA9)*1,($A$2:A9=A9)*1,($B$2:B9=B9)*1,($M$2:M9=M9)*1,($L$2:L9=L9)*1)&gt;1,0,1)</f>
        <v>0</v>
      </c>
      <c r="AI9" cm="1">
        <f t="array" ref="AI9">IF(SUMPRODUCT(($A$2:A9=A9)*1,($B$2:B9=B9)*1,($M$2:M9=M9)*1,($L$2:L9=L9)*1)&gt;1,0,1)</f>
        <v>0</v>
      </c>
      <c r="AK9" s="9" t="s">
        <v>121</v>
      </c>
      <c r="AL9">
        <f t="shared" si="10"/>
        <v>8</v>
      </c>
    </row>
    <row r="10" spans="1:38" x14ac:dyDescent="0.35">
      <c r="A10" s="5" t="s">
        <v>102</v>
      </c>
      <c r="B10" s="5" t="s">
        <v>126</v>
      </c>
      <c r="C10" s="5" t="s">
        <v>65</v>
      </c>
      <c r="D10" s="5" t="s">
        <v>69</v>
      </c>
      <c r="E10" s="5" t="s">
        <v>62</v>
      </c>
      <c r="F10" s="5" t="s">
        <v>40</v>
      </c>
      <c r="G10" s="5">
        <v>200</v>
      </c>
      <c r="H10" s="5" t="s">
        <v>28</v>
      </c>
      <c r="I10" s="5" t="s">
        <v>49</v>
      </c>
      <c r="J10" s="5">
        <v>2026</v>
      </c>
      <c r="K10" s="5" t="s">
        <v>30</v>
      </c>
      <c r="L10" s="3">
        <v>45294</v>
      </c>
      <c r="M10" s="5" t="s">
        <v>31</v>
      </c>
      <c r="N10" s="5" t="s">
        <v>32</v>
      </c>
      <c r="O10" s="5" t="s">
        <v>32</v>
      </c>
      <c r="P10" s="5">
        <v>11906</v>
      </c>
      <c r="Q10" s="5">
        <v>0</v>
      </c>
      <c r="R10" s="5" t="s">
        <v>66</v>
      </c>
      <c r="S10" s="5" t="s">
        <v>42</v>
      </c>
      <c r="T10" s="5">
        <v>1.3022</v>
      </c>
      <c r="U10" s="5" t="s">
        <v>51</v>
      </c>
      <c r="V10" s="5" t="s">
        <v>67</v>
      </c>
      <c r="W10" s="5" t="s">
        <v>68</v>
      </c>
      <c r="X10" s="5" t="s">
        <v>103</v>
      </c>
      <c r="Y10" s="8">
        <f t="array" ref="Y10">IF(SUMPRODUCT(($R$2:R10=R10)*1,($L$2:L10=L10)*1)&gt;1,0,1)</f>
        <v>0</v>
      </c>
      <c r="Z10" s="8">
        <f t="shared" si="5"/>
        <v>1</v>
      </c>
      <c r="AA10" s="8" t="str">
        <f t="shared" si="6"/>
        <v>SACOS</v>
      </c>
      <c r="AB10" s="8" cm="1">
        <f t="array" ref="AB10">IF(SUMPRODUCT(($AA$2:AA10=AA10)*1,($R$2:R10=R10)*1,($L$2:L10=L10)*1)&gt;1,0,1)</f>
        <v>0</v>
      </c>
      <c r="AC10" cm="1">
        <f t="array" ref="AC10">IF(SUMPRODUCT(($AA$2:AA10=AA10)*1,($R$2:R10=R10)*1,($L$2:L10=L10)*1,($C$2:C10=C10)*1)&gt;1,0,1)</f>
        <v>0</v>
      </c>
      <c r="AD10">
        <f t="shared" si="7"/>
        <v>3</v>
      </c>
      <c r="AE10" t="str">
        <f t="shared" si="8"/>
        <v>Despachado</v>
      </c>
      <c r="AF10">
        <f t="shared" si="9"/>
        <v>1</v>
      </c>
      <c r="AG10" cm="1">
        <f t="array" ref="AG10">IF(SUMPRODUCT(($M$2:M10=M10)*1,($L$2:L10=L10)*1)&gt;1,0,1)</f>
        <v>0</v>
      </c>
      <c r="AH10" cm="1">
        <f t="array" ref="AH10">IF(SUMPRODUCT(($AA$2:AA10=AA10)*1,($A$2:A10=A10)*1,($B$2:B10=B10)*1,($M$2:M10=M10)*1,($L$2:L10=L10)*1)&gt;1,0,1)</f>
        <v>0</v>
      </c>
      <c r="AI10" cm="1">
        <f t="array" ref="AI10">IF(SUMPRODUCT(($A$2:A10=A10)*1,($B$2:B10=B10)*1,($M$2:M10=M10)*1,($L$2:L10=L10)*1)&gt;1,0,1)</f>
        <v>0</v>
      </c>
      <c r="AK10" s="9" t="s">
        <v>122</v>
      </c>
      <c r="AL10">
        <f t="shared" si="10"/>
        <v>9</v>
      </c>
    </row>
    <row r="11" spans="1:38" x14ac:dyDescent="0.35">
      <c r="A11" s="5" t="s">
        <v>102</v>
      </c>
      <c r="B11" s="5" t="s">
        <v>126</v>
      </c>
      <c r="C11" s="5" t="s">
        <v>70</v>
      </c>
      <c r="D11" s="5" t="s">
        <v>69</v>
      </c>
      <c r="E11" s="5" t="s">
        <v>71</v>
      </c>
      <c r="F11" s="5" t="s">
        <v>72</v>
      </c>
      <c r="G11" s="5">
        <v>20</v>
      </c>
      <c r="H11" s="5" t="s">
        <v>28</v>
      </c>
      <c r="I11" s="5" t="s">
        <v>49</v>
      </c>
      <c r="J11" s="5">
        <v>2026</v>
      </c>
      <c r="K11" s="5" t="s">
        <v>30</v>
      </c>
      <c r="L11" s="3">
        <v>45294</v>
      </c>
      <c r="M11" s="5" t="s">
        <v>31</v>
      </c>
      <c r="N11" s="5" t="s">
        <v>32</v>
      </c>
      <c r="O11" s="5" t="s">
        <v>32</v>
      </c>
      <c r="P11" s="5">
        <v>11906</v>
      </c>
      <c r="Q11" s="5">
        <v>0</v>
      </c>
      <c r="R11" s="5" t="s">
        <v>56</v>
      </c>
      <c r="S11" s="5" t="s">
        <v>42</v>
      </c>
      <c r="T11" s="5">
        <v>2.5945</v>
      </c>
      <c r="U11" s="5" t="s">
        <v>51</v>
      </c>
      <c r="V11" s="5" t="s">
        <v>63</v>
      </c>
      <c r="W11" s="5" t="s">
        <v>64</v>
      </c>
      <c r="X11" s="5" t="s">
        <v>103</v>
      </c>
      <c r="Y11" s="8">
        <f t="array" ref="Y11">IF(SUMPRODUCT(($R$2:R11=R11)*1,($L$2:L11=L11)*1)&gt;1,0,1)</f>
        <v>0</v>
      </c>
      <c r="Z11" s="8">
        <f t="shared" si="5"/>
        <v>1</v>
      </c>
      <c r="AA11" s="8" t="str">
        <f t="shared" si="6"/>
        <v>MAXISACOS</v>
      </c>
      <c r="AB11" s="8" cm="1">
        <f t="array" ref="AB11">IF(SUMPRODUCT(($AA$2:AA11=AA11)*1,($R$2:R11=R11)*1,($L$2:L11=L11)*1)&gt;1,0,1)</f>
        <v>1</v>
      </c>
      <c r="AC11" cm="1">
        <f t="array" ref="AC11">IF(SUMPRODUCT(($AA$2:AA11=AA11)*1,($R$2:R11=R11)*1,($L$2:L11=L11)*1,($C$2:C11=C11)*1)&gt;1,0,1)</f>
        <v>1</v>
      </c>
      <c r="AD11">
        <f t="shared" si="7"/>
        <v>3</v>
      </c>
      <c r="AE11" t="str">
        <f t="shared" si="8"/>
        <v>Despachado</v>
      </c>
      <c r="AF11">
        <f t="shared" si="9"/>
        <v>1</v>
      </c>
      <c r="AG11" cm="1">
        <f t="array" ref="AG11">IF(SUMPRODUCT(($M$2:M11=M11)*1,($L$2:L11=L11)*1)&gt;1,0,1)</f>
        <v>0</v>
      </c>
      <c r="AH11" cm="1">
        <f t="array" ref="AH11">IF(SUMPRODUCT(($AA$2:AA11=AA11)*1,($A$2:A11=A11)*1,($B$2:B11=B11)*1,($M$2:M11=M11)*1,($L$2:L11=L11)*1)&gt;1,0,1)</f>
        <v>1</v>
      </c>
      <c r="AI11" cm="1">
        <f t="array" ref="AI11">IF(SUMPRODUCT(($A$2:A11=A11)*1,($B$2:B11=B11)*1,($M$2:M11=M11)*1,($L$2:L11=L11)*1)&gt;1,0,1)</f>
        <v>0</v>
      </c>
      <c r="AK11" s="9" t="s">
        <v>123</v>
      </c>
      <c r="AL11">
        <f t="shared" si="10"/>
        <v>10</v>
      </c>
    </row>
    <row r="12" spans="1:38" x14ac:dyDescent="0.35">
      <c r="A12" s="5" t="s">
        <v>102</v>
      </c>
      <c r="B12" s="5" t="s">
        <v>126</v>
      </c>
      <c r="C12" s="5" t="s">
        <v>61</v>
      </c>
      <c r="D12" s="5" t="s">
        <v>69</v>
      </c>
      <c r="E12" s="5" t="s">
        <v>62</v>
      </c>
      <c r="F12" s="5" t="s">
        <v>40</v>
      </c>
      <c r="G12" s="5">
        <v>200</v>
      </c>
      <c r="H12" s="5" t="s">
        <v>28</v>
      </c>
      <c r="I12" s="5" t="s">
        <v>49</v>
      </c>
      <c r="J12" s="5">
        <v>2026</v>
      </c>
      <c r="K12" s="5" t="s">
        <v>30</v>
      </c>
      <c r="L12" s="3">
        <v>45294</v>
      </c>
      <c r="M12" s="5" t="s">
        <v>31</v>
      </c>
      <c r="N12" s="5" t="s">
        <v>32</v>
      </c>
      <c r="O12" s="5" t="s">
        <v>32</v>
      </c>
      <c r="P12" s="5">
        <v>11906</v>
      </c>
      <c r="Q12" s="5">
        <v>0</v>
      </c>
      <c r="R12" s="5" t="s">
        <v>56</v>
      </c>
      <c r="S12" s="5" t="s">
        <v>42</v>
      </c>
      <c r="T12" s="5">
        <v>1.2976000000000001</v>
      </c>
      <c r="U12" s="5" t="s">
        <v>51</v>
      </c>
      <c r="V12" s="5" t="s">
        <v>63</v>
      </c>
      <c r="W12" s="5" t="s">
        <v>64</v>
      </c>
      <c r="X12" s="5" t="s">
        <v>103</v>
      </c>
      <c r="Y12" s="8">
        <f t="array" ref="Y12">IF(SUMPRODUCT(($R$2:R12=R12)*1,($L$2:L12=L12)*1)&gt;1,0,1)</f>
        <v>0</v>
      </c>
      <c r="Z12" s="8">
        <f t="shared" si="5"/>
        <v>1</v>
      </c>
      <c r="AA12" s="8" t="str">
        <f t="shared" si="6"/>
        <v>SACOS</v>
      </c>
      <c r="AB12" s="8" cm="1">
        <f t="array" ref="AB12">IF(SUMPRODUCT(($AA$2:AA12=AA12)*1,($R$2:R12=R12)*1,($L$2:L12=L12)*1)&gt;1,0,1)</f>
        <v>0</v>
      </c>
      <c r="AC12" cm="1">
        <f t="array" ref="AC12">IF(SUMPRODUCT(($AA$2:AA12=AA12)*1,($R$2:R12=R12)*1,($L$2:L12=L12)*1,($C$2:C12=C12)*1)&gt;1,0,1)</f>
        <v>0</v>
      </c>
      <c r="AD12">
        <f t="shared" si="7"/>
        <v>3</v>
      </c>
      <c r="AE12" t="str">
        <f t="shared" si="8"/>
        <v>Despachado</v>
      </c>
      <c r="AF12">
        <f t="shared" si="9"/>
        <v>1</v>
      </c>
      <c r="AG12" cm="1">
        <f t="array" ref="AG12">IF(SUMPRODUCT(($M$2:M12=M12)*1,($L$2:L12=L12)*1)&gt;1,0,1)</f>
        <v>0</v>
      </c>
      <c r="AH12" cm="1">
        <f t="array" ref="AH12">IF(SUMPRODUCT(($AA$2:AA12=AA12)*1,($A$2:A12=A12)*1,($B$2:B12=B12)*1,($M$2:M12=M12)*1,($L$2:L12=L12)*1)&gt;1,0,1)</f>
        <v>0</v>
      </c>
      <c r="AI12" cm="1">
        <f t="array" ref="AI12">IF(SUMPRODUCT(($A$2:A12=A12)*1,($B$2:B12=B12)*1,($M$2:M12=M12)*1,($L$2:L12=L12)*1)&gt;1,0,1)</f>
        <v>0</v>
      </c>
      <c r="AK12" s="9" t="s">
        <v>124</v>
      </c>
      <c r="AL12">
        <f t="shared" si="10"/>
        <v>11</v>
      </c>
    </row>
    <row r="13" spans="1:38" x14ac:dyDescent="0.35">
      <c r="A13" s="5" t="s">
        <v>102</v>
      </c>
      <c r="B13" s="5" t="s">
        <v>126</v>
      </c>
      <c r="C13" s="5" t="s">
        <v>73</v>
      </c>
      <c r="D13" s="5" t="s">
        <v>69</v>
      </c>
      <c r="E13" s="5" t="s">
        <v>71</v>
      </c>
      <c r="F13" s="5" t="s">
        <v>40</v>
      </c>
      <c r="G13" s="5">
        <v>28</v>
      </c>
      <c r="H13" s="5" t="s">
        <v>28</v>
      </c>
      <c r="I13" s="5" t="s">
        <v>49</v>
      </c>
      <c r="J13" s="5">
        <v>2026</v>
      </c>
      <c r="K13" s="5" t="s">
        <v>30</v>
      </c>
      <c r="L13" s="3">
        <v>45294</v>
      </c>
      <c r="M13" s="5" t="s">
        <v>31</v>
      </c>
      <c r="N13" s="5" t="s">
        <v>32</v>
      </c>
      <c r="O13" s="5" t="s">
        <v>32</v>
      </c>
      <c r="P13" s="5">
        <v>11906</v>
      </c>
      <c r="Q13" s="5">
        <v>0</v>
      </c>
      <c r="R13" s="5" t="s">
        <v>41</v>
      </c>
      <c r="S13" s="5" t="s">
        <v>42</v>
      </c>
      <c r="T13" s="5">
        <v>0.18190000000000001</v>
      </c>
      <c r="U13" s="5" t="s">
        <v>51</v>
      </c>
      <c r="V13" s="5" t="s">
        <v>43</v>
      </c>
      <c r="W13" s="5" t="s">
        <v>44</v>
      </c>
      <c r="X13" s="5" t="s">
        <v>103</v>
      </c>
      <c r="Y13" s="8">
        <f t="array" ref="Y13">IF(SUMPRODUCT(($R$2:R13=R13)*1,($L$2:L13=L13)*1)&gt;1,0,1)</f>
        <v>1</v>
      </c>
      <c r="Z13" s="8">
        <f t="shared" si="5"/>
        <v>1</v>
      </c>
      <c r="AA13" s="8" t="str">
        <f t="shared" si="6"/>
        <v>SACOS</v>
      </c>
      <c r="AB13" s="8" cm="1">
        <f t="array" ref="AB13">IF(SUMPRODUCT(($AA$2:AA13=AA13)*1,($R$2:R13=R13)*1,($L$2:L13=L13)*1)&gt;1,0,1)</f>
        <v>1</v>
      </c>
      <c r="AC13" cm="1">
        <f t="array" ref="AC13">IF(SUMPRODUCT(($AA$2:AA13=AA13)*1,($R$2:R13=R13)*1,($L$2:L13=L13)*1,($C$2:C13=C13)*1)&gt;1,0,1)</f>
        <v>1</v>
      </c>
      <c r="AD13">
        <f t="shared" si="7"/>
        <v>3</v>
      </c>
      <c r="AE13" t="str">
        <f t="shared" si="8"/>
        <v>Despachado</v>
      </c>
      <c r="AF13">
        <f t="shared" si="9"/>
        <v>1</v>
      </c>
      <c r="AG13" cm="1">
        <f t="array" ref="AG13">IF(SUMPRODUCT(($M$2:M13=M13)*1,($L$2:L13=L13)*1)&gt;1,0,1)</f>
        <v>0</v>
      </c>
      <c r="AH13" cm="1">
        <f t="array" ref="AH13">IF(SUMPRODUCT(($AA$2:AA13=AA13)*1,($A$2:A13=A13)*1,($B$2:B13=B13)*1,($M$2:M13=M13)*1,($L$2:L13=L13)*1)&gt;1,0,1)</f>
        <v>0</v>
      </c>
      <c r="AI13" cm="1">
        <f t="array" ref="AI13">IF(SUMPRODUCT(($A$2:A13=A13)*1,($B$2:B13=B13)*1,($M$2:M13=M13)*1,($L$2:L13=L13)*1)&gt;1,0,1)</f>
        <v>0</v>
      </c>
      <c r="AK13" s="9" t="s">
        <v>125</v>
      </c>
      <c r="AL13">
        <f t="shared" si="10"/>
        <v>12</v>
      </c>
    </row>
    <row r="14" spans="1:38" x14ac:dyDescent="0.35">
      <c r="A14" s="5" t="s">
        <v>102</v>
      </c>
      <c r="B14" s="5" t="s">
        <v>126</v>
      </c>
      <c r="C14" s="5" t="s">
        <v>74</v>
      </c>
      <c r="D14" s="5" t="s">
        <v>69</v>
      </c>
      <c r="E14" s="5" t="s">
        <v>71</v>
      </c>
      <c r="F14" s="5" t="s">
        <v>40</v>
      </c>
      <c r="G14" s="5">
        <v>199</v>
      </c>
      <c r="H14" s="5" t="s">
        <v>28</v>
      </c>
      <c r="I14" s="5" t="s">
        <v>49</v>
      </c>
      <c r="J14" s="5">
        <v>2026</v>
      </c>
      <c r="K14" s="5" t="s">
        <v>30</v>
      </c>
      <c r="L14" s="3">
        <v>45294</v>
      </c>
      <c r="M14" s="5" t="s">
        <v>31</v>
      </c>
      <c r="N14" s="5" t="s">
        <v>32</v>
      </c>
      <c r="O14" s="5" t="s">
        <v>32</v>
      </c>
      <c r="P14" s="5">
        <v>11906</v>
      </c>
      <c r="Q14" s="5">
        <v>0</v>
      </c>
      <c r="R14" s="5" t="s">
        <v>41</v>
      </c>
      <c r="S14" s="5" t="s">
        <v>42</v>
      </c>
      <c r="T14" s="5">
        <v>1.29129</v>
      </c>
      <c r="U14" s="5" t="s">
        <v>51</v>
      </c>
      <c r="V14" s="5" t="s">
        <v>43</v>
      </c>
      <c r="W14" s="5" t="s">
        <v>44</v>
      </c>
      <c r="X14" s="5" t="s">
        <v>103</v>
      </c>
      <c r="Y14" s="8">
        <f t="array" ref="Y14">IF(SUMPRODUCT(($R$2:R14=R14)*1,($L$2:L14=L14)*1)&gt;1,0,1)</f>
        <v>0</v>
      </c>
      <c r="Z14" s="8">
        <f t="shared" si="5"/>
        <v>1</v>
      </c>
      <c r="AA14" s="8" t="str">
        <f t="shared" si="6"/>
        <v>SACOS</v>
      </c>
      <c r="AB14" s="8" cm="1">
        <f t="array" ref="AB14">IF(SUMPRODUCT(($AA$2:AA14=AA14)*1,($R$2:R14=R14)*1,($L$2:L14=L14)*1)&gt;1,0,1)</f>
        <v>0</v>
      </c>
      <c r="AC14" cm="1">
        <f t="array" ref="AC14">IF(SUMPRODUCT(($AA$2:AA14=AA14)*1,($R$2:R14=R14)*1,($L$2:L14=L14)*1,($C$2:C14=C14)*1)&gt;1,0,1)</f>
        <v>1</v>
      </c>
      <c r="AD14">
        <f t="shared" si="7"/>
        <v>3</v>
      </c>
      <c r="AE14" t="str">
        <f t="shared" si="8"/>
        <v>Despachado</v>
      </c>
      <c r="AF14">
        <f t="shared" si="9"/>
        <v>1</v>
      </c>
      <c r="AG14" cm="1">
        <f t="array" ref="AG14">IF(SUMPRODUCT(($M$2:M14=M14)*1,($L$2:L14=L14)*1)&gt;1,0,1)</f>
        <v>0</v>
      </c>
      <c r="AH14" cm="1">
        <f t="array" ref="AH14">IF(SUMPRODUCT(($AA$2:AA14=AA14)*1,($A$2:A14=A14)*1,($B$2:B14=B14)*1,($M$2:M14=M14)*1,($L$2:L14=L14)*1)&gt;1,0,1)</f>
        <v>0</v>
      </c>
      <c r="AI14" cm="1">
        <f t="array" ref="AI14">IF(SUMPRODUCT(($A$2:A14=A14)*1,($B$2:B14=B14)*1,($M$2:M14=M14)*1,($L$2:L14=L14)*1)&gt;1,0,1)</f>
        <v>0</v>
      </c>
    </row>
    <row r="15" spans="1:38" x14ac:dyDescent="0.35">
      <c r="A15" s="5" t="s">
        <v>101</v>
      </c>
      <c r="B15" s="5" t="s">
        <v>126</v>
      </c>
      <c r="C15" s="5" t="s">
        <v>75</v>
      </c>
      <c r="D15" s="5" t="s">
        <v>69</v>
      </c>
      <c r="E15" s="5" t="s">
        <v>76</v>
      </c>
      <c r="F15" s="5" t="s">
        <v>72</v>
      </c>
      <c r="G15" s="5">
        <v>24</v>
      </c>
      <c r="H15" s="5" t="s">
        <v>28</v>
      </c>
      <c r="I15" s="5" t="s">
        <v>49</v>
      </c>
      <c r="J15" s="5">
        <v>2026</v>
      </c>
      <c r="K15" s="5" t="s">
        <v>30</v>
      </c>
      <c r="L15" s="3">
        <v>45300</v>
      </c>
      <c r="M15" s="5" t="s">
        <v>31</v>
      </c>
      <c r="N15" s="5" t="s">
        <v>32</v>
      </c>
      <c r="O15" s="5" t="s">
        <v>32</v>
      </c>
      <c r="P15" s="5">
        <v>13381</v>
      </c>
      <c r="Q15" s="5">
        <v>0</v>
      </c>
      <c r="R15" s="5" t="s">
        <v>77</v>
      </c>
      <c r="S15" s="5" t="s">
        <v>42</v>
      </c>
      <c r="T15" s="5">
        <v>5.3852000000000002</v>
      </c>
      <c r="U15" s="5" t="s">
        <v>51</v>
      </c>
      <c r="V15" s="5" t="s">
        <v>78</v>
      </c>
      <c r="W15" s="5" t="s">
        <v>64</v>
      </c>
      <c r="X15" s="5" t="s">
        <v>103</v>
      </c>
      <c r="Y15" s="8">
        <f t="array" ref="Y15">IF(SUMPRODUCT(($R$2:R15=R15)*1,($L$2:L15=L15)*1)&gt;1,0,1)</f>
        <v>1</v>
      </c>
      <c r="Z15" s="8">
        <f t="shared" si="5"/>
        <v>2</v>
      </c>
      <c r="AA15" s="8" t="str">
        <f t="shared" si="6"/>
        <v>MAXISACOS</v>
      </c>
      <c r="AB15" s="8" cm="1">
        <f t="array" ref="AB15">IF(SUMPRODUCT(($AA$2:AA15=AA15)*1,($R$2:R15=R15)*1,($L$2:L15=L15)*1)&gt;1,0,1)</f>
        <v>1</v>
      </c>
      <c r="AC15" cm="1">
        <f t="array" ref="AC15">IF(SUMPRODUCT(($AA$2:AA15=AA15)*1,($R$2:R15=R15)*1,($L$2:L15=L15)*1,($C$2:C15=C15)*1)&gt;1,0,1)</f>
        <v>1</v>
      </c>
      <c r="AD15">
        <f t="shared" si="7"/>
        <v>9</v>
      </c>
      <c r="AE15" t="str">
        <f t="shared" si="8"/>
        <v>Despachado</v>
      </c>
      <c r="AF15">
        <f t="shared" si="9"/>
        <v>1</v>
      </c>
      <c r="AG15" cm="1">
        <f t="array" ref="AG15">IF(SUMPRODUCT(($M$2:M15=M15)*1,($L$2:L15=L15)*1)&gt;1,0,1)</f>
        <v>0</v>
      </c>
      <c r="AH15" cm="1">
        <f t="array" ref="AH15">IF(SUMPRODUCT(($AA$2:AA15=AA15)*1,($A$2:A15=A15)*1,($B$2:B15=B15)*1,($M$2:M15=M15)*1,($L$2:L15=L15)*1)&gt;1,0,1)</f>
        <v>0</v>
      </c>
      <c r="AI15" cm="1">
        <f t="array" ref="AI15">IF(SUMPRODUCT(($A$2:A15=A15)*1,($B$2:B15=B15)*1,($M$2:M15=M15)*1,($L$2:L15=L15)*1)&gt;1,0,1)</f>
        <v>0</v>
      </c>
    </row>
    <row r="16" spans="1:38" x14ac:dyDescent="0.35">
      <c r="A16" s="5" t="s">
        <v>101</v>
      </c>
      <c r="B16" s="5" t="s">
        <v>126</v>
      </c>
      <c r="C16" s="5" t="s">
        <v>79</v>
      </c>
      <c r="D16" s="5" t="s">
        <v>69</v>
      </c>
      <c r="E16" s="5" t="s">
        <v>80</v>
      </c>
      <c r="F16" s="5" t="s">
        <v>27</v>
      </c>
      <c r="G16" s="5">
        <v>60</v>
      </c>
      <c r="H16" s="5" t="s">
        <v>28</v>
      </c>
      <c r="I16" s="5" t="s">
        <v>49</v>
      </c>
      <c r="J16" s="5">
        <v>2026</v>
      </c>
      <c r="K16" s="5" t="s">
        <v>30</v>
      </c>
      <c r="L16" s="3">
        <v>45321</v>
      </c>
      <c r="M16" s="5" t="s">
        <v>31</v>
      </c>
      <c r="N16" s="5" t="s">
        <v>32</v>
      </c>
      <c r="O16" s="5" t="s">
        <v>32</v>
      </c>
      <c r="P16" s="5">
        <v>13381</v>
      </c>
      <c r="Q16" s="5">
        <v>0</v>
      </c>
      <c r="R16" s="5" t="s">
        <v>81</v>
      </c>
      <c r="S16" s="5" t="s">
        <v>82</v>
      </c>
      <c r="T16" s="5">
        <v>5.6882000000000001</v>
      </c>
      <c r="U16" s="5" t="s">
        <v>51</v>
      </c>
      <c r="V16" s="5" t="s">
        <v>83</v>
      </c>
      <c r="W16" s="5" t="s">
        <v>84</v>
      </c>
      <c r="X16" s="5" t="s">
        <v>103</v>
      </c>
      <c r="Y16" s="8">
        <f t="array" ref="Y16">IF(SUMPRODUCT(($R$2:R16=R16)*1,($L$2:L16=L16)*1)&gt;1,0,1)</f>
        <v>1</v>
      </c>
      <c r="Z16" s="8">
        <f t="shared" si="5"/>
        <v>5</v>
      </c>
      <c r="AA16" s="8" t="str">
        <f t="shared" si="6"/>
        <v>MAXISACOS</v>
      </c>
      <c r="AB16" s="8" cm="1">
        <f t="array" ref="AB16">IF(SUMPRODUCT(($AA$2:AA16=AA16)*1,($R$2:R16=R16)*1,($L$2:L16=L16)*1)&gt;1,0,1)</f>
        <v>1</v>
      </c>
      <c r="AC16" cm="1">
        <f t="array" ref="AC16">IF(SUMPRODUCT(($AA$2:AA16=AA16)*1,($R$2:R16=R16)*1,($L$2:L16=L16)*1,($C$2:C16=C16)*1)&gt;1,0,1)</f>
        <v>1</v>
      </c>
      <c r="AD16">
        <f t="shared" si="7"/>
        <v>30</v>
      </c>
      <c r="AE16" t="str">
        <f t="shared" si="8"/>
        <v>Despachado</v>
      </c>
      <c r="AF16">
        <f t="shared" si="9"/>
        <v>1</v>
      </c>
      <c r="AG16" cm="1">
        <f t="array" ref="AG16">IF(SUMPRODUCT(($M$2:M16=M16)*1,($L$2:L16=L16)*1)&gt;1,0,1)</f>
        <v>1</v>
      </c>
      <c r="AH16" cm="1">
        <f t="array" ref="AH16">IF(SUMPRODUCT(($AA$2:AA16=AA16)*1,($A$2:A16=A16)*1,($B$2:B16=B16)*1,($M$2:M16=M16)*1,($L$2:L16=L16)*1)&gt;1,0,1)</f>
        <v>1</v>
      </c>
      <c r="AI16" cm="1">
        <f t="array" ref="AI16">IF(SUMPRODUCT(($A$2:A16=A16)*1,($B$2:B16=B16)*1,($M$2:M16=M16)*1,($L$2:L16=L16)*1)&gt;1,0,1)</f>
        <v>1</v>
      </c>
    </row>
    <row r="17" spans="1:35" x14ac:dyDescent="0.35">
      <c r="A17" s="5" t="s">
        <v>101</v>
      </c>
      <c r="B17" s="5" t="s">
        <v>126</v>
      </c>
      <c r="C17" s="5" t="s">
        <v>85</v>
      </c>
      <c r="D17" s="5" t="s">
        <v>69</v>
      </c>
      <c r="E17" s="5" t="s">
        <v>86</v>
      </c>
      <c r="F17" s="5" t="s">
        <v>72</v>
      </c>
      <c r="G17" s="5">
        <v>20</v>
      </c>
      <c r="H17" s="5" t="s">
        <v>28</v>
      </c>
      <c r="I17" s="5" t="s">
        <v>49</v>
      </c>
      <c r="J17" s="5">
        <v>2026</v>
      </c>
      <c r="K17" s="5" t="s">
        <v>30</v>
      </c>
      <c r="L17" s="3">
        <v>45315</v>
      </c>
      <c r="M17" s="5" t="s">
        <v>31</v>
      </c>
      <c r="N17" s="5" t="s">
        <v>32</v>
      </c>
      <c r="O17" s="5" t="s">
        <v>32</v>
      </c>
      <c r="P17" s="5">
        <v>13381</v>
      </c>
      <c r="Q17" s="5">
        <v>0</v>
      </c>
      <c r="R17" s="5" t="s">
        <v>41</v>
      </c>
      <c r="S17" s="5" t="s">
        <v>42</v>
      </c>
      <c r="T17" s="5">
        <v>4.5890000000000004</v>
      </c>
      <c r="U17" s="5" t="s">
        <v>51</v>
      </c>
      <c r="V17" s="5" t="s">
        <v>87</v>
      </c>
      <c r="W17" s="5" t="s">
        <v>37</v>
      </c>
      <c r="X17" s="5" t="s">
        <v>103</v>
      </c>
      <c r="Y17" s="8">
        <f t="array" ref="Y17">IF(SUMPRODUCT(($R$2:R17=R17)*1,($L$2:L17=L17)*1)&gt;1,0,1)</f>
        <v>1</v>
      </c>
      <c r="Z17" s="8">
        <f t="shared" si="5"/>
        <v>4</v>
      </c>
      <c r="AA17" s="8" t="str">
        <f t="shared" si="6"/>
        <v>MAXISACOS</v>
      </c>
      <c r="AB17" s="8" cm="1">
        <f t="array" ref="AB17">IF(SUMPRODUCT(($AA$2:AA17=AA17)*1,($R$2:R17=R17)*1,($L$2:L17=L17)*1)&gt;1,0,1)</f>
        <v>1</v>
      </c>
      <c r="AC17" cm="1">
        <f t="array" ref="AC17">IF(SUMPRODUCT(($AA$2:AA17=AA17)*1,($R$2:R17=R17)*1,($L$2:L17=L17)*1,($C$2:C17=C17)*1)&gt;1,0,1)</f>
        <v>1</v>
      </c>
      <c r="AD17">
        <f t="shared" si="7"/>
        <v>24</v>
      </c>
      <c r="AE17" t="str">
        <f t="shared" si="8"/>
        <v>Despachado</v>
      </c>
      <c r="AF17">
        <f t="shared" si="9"/>
        <v>1</v>
      </c>
      <c r="AG17" cm="1">
        <f t="array" ref="AG17">IF(SUMPRODUCT(($M$2:M17=M17)*1,($L$2:L17=L17)*1)&gt;1,0,1)</f>
        <v>1</v>
      </c>
      <c r="AH17" cm="1">
        <f t="array" ref="AH17">IF(SUMPRODUCT(($AA$2:AA17=AA17)*1,($A$2:A17=A17)*1,($B$2:B17=B17)*1,($M$2:M17=M17)*1,($L$2:L17=L17)*1)&gt;1,0,1)</f>
        <v>1</v>
      </c>
      <c r="AI17" cm="1">
        <f t="array" ref="AI17">IF(SUMPRODUCT(($A$2:A17=A17)*1,($B$2:B17=B17)*1,($M$2:M17=M17)*1,($L$2:L17=L17)*1)&gt;1,0,1)</f>
        <v>1</v>
      </c>
    </row>
    <row r="18" spans="1:35" x14ac:dyDescent="0.35">
      <c r="A18" s="5" t="s">
        <v>101</v>
      </c>
      <c r="B18" s="5" t="s">
        <v>126</v>
      </c>
      <c r="C18" s="5" t="s">
        <v>88</v>
      </c>
      <c r="D18" s="5" t="s">
        <v>69</v>
      </c>
      <c r="E18" s="5" t="s">
        <v>80</v>
      </c>
      <c r="F18" s="5" t="s">
        <v>27</v>
      </c>
      <c r="G18" s="5">
        <v>60</v>
      </c>
      <c r="H18" s="5" t="s">
        <v>28</v>
      </c>
      <c r="I18" s="5" t="s">
        <v>49</v>
      </c>
      <c r="J18" s="5">
        <v>2026</v>
      </c>
      <c r="K18" s="5" t="s">
        <v>30</v>
      </c>
      <c r="L18" s="3">
        <v>45321</v>
      </c>
      <c r="M18" s="5" t="s">
        <v>31</v>
      </c>
      <c r="N18" s="5" t="s">
        <v>32</v>
      </c>
      <c r="O18" s="5" t="s">
        <v>32</v>
      </c>
      <c r="P18" s="5">
        <v>13381</v>
      </c>
      <c r="Q18" s="5">
        <v>0</v>
      </c>
      <c r="R18" s="5" t="s">
        <v>89</v>
      </c>
      <c r="S18" s="5" t="s">
        <v>42</v>
      </c>
      <c r="T18" s="5">
        <v>5.6882000000000001</v>
      </c>
      <c r="U18" s="5" t="s">
        <v>51</v>
      </c>
      <c r="V18" s="5" t="s">
        <v>90</v>
      </c>
      <c r="W18" s="5" t="s">
        <v>64</v>
      </c>
      <c r="X18" s="5" t="s">
        <v>103</v>
      </c>
      <c r="Y18" s="8">
        <f t="array" ref="Y18">IF(SUMPRODUCT(($R$2:R18=R18)*1,($L$2:L18=L18)*1)&gt;1,0,1)</f>
        <v>1</v>
      </c>
      <c r="Z18" s="8">
        <f t="shared" si="5"/>
        <v>5</v>
      </c>
      <c r="AA18" s="8" t="str">
        <f t="shared" si="6"/>
        <v>MAXISACOS</v>
      </c>
      <c r="AB18" s="8" cm="1">
        <f t="array" ref="AB18">IF(SUMPRODUCT(($AA$2:AA18=AA18)*1,($R$2:R18=R18)*1,($L$2:L18=L18)*1)&gt;1,0,1)</f>
        <v>1</v>
      </c>
      <c r="AC18" cm="1">
        <f t="array" ref="AC18">IF(SUMPRODUCT(($AA$2:AA18=AA18)*1,($R$2:R18=R18)*1,($L$2:L18=L18)*1,($C$2:C18=C18)*1)&gt;1,0,1)</f>
        <v>1</v>
      </c>
      <c r="AD18">
        <f t="shared" si="7"/>
        <v>30</v>
      </c>
      <c r="AE18" t="str">
        <f t="shared" si="8"/>
        <v>Despachado</v>
      </c>
      <c r="AF18">
        <f t="shared" si="9"/>
        <v>1</v>
      </c>
      <c r="AG18" cm="1">
        <f t="array" ref="AG18">IF(SUMPRODUCT(($M$2:M18=M18)*1,($L$2:L18=L18)*1)&gt;1,0,1)</f>
        <v>0</v>
      </c>
      <c r="AH18" cm="1">
        <f t="array" ref="AH18">IF(SUMPRODUCT(($AA$2:AA18=AA18)*1,($A$2:A18=A18)*1,($B$2:B18=B18)*1,($M$2:M18=M18)*1,($L$2:L18=L18)*1)&gt;1,0,1)</f>
        <v>0</v>
      </c>
      <c r="AI18" cm="1">
        <f t="array" ref="AI18">IF(SUMPRODUCT(($A$2:A18=A18)*1,($B$2:B18=B18)*1,($M$2:M18=M18)*1,($L$2:L18=L18)*1)&gt;1,0,1)</f>
        <v>0</v>
      </c>
    </row>
    <row r="19" spans="1:35" x14ac:dyDescent="0.35">
      <c r="A19" s="5" t="s">
        <v>101</v>
      </c>
      <c r="B19" s="5" t="s">
        <v>126</v>
      </c>
      <c r="C19" s="5" t="s">
        <v>91</v>
      </c>
      <c r="D19" s="5" t="s">
        <v>69</v>
      </c>
      <c r="E19" s="5" t="s">
        <v>80</v>
      </c>
      <c r="F19" s="5" t="s">
        <v>27</v>
      </c>
      <c r="G19" s="5">
        <v>60</v>
      </c>
      <c r="H19" s="5" t="s">
        <v>28</v>
      </c>
      <c r="I19" s="5" t="s">
        <v>49</v>
      </c>
      <c r="J19" s="5">
        <v>2026</v>
      </c>
      <c r="K19" s="5" t="s">
        <v>30</v>
      </c>
      <c r="L19" s="3">
        <v>45321</v>
      </c>
      <c r="M19" s="5" t="s">
        <v>31</v>
      </c>
      <c r="N19" s="5" t="s">
        <v>32</v>
      </c>
      <c r="O19" s="5" t="s">
        <v>32</v>
      </c>
      <c r="P19" s="5">
        <v>13378</v>
      </c>
      <c r="Q19" s="5">
        <v>0</v>
      </c>
      <c r="R19" s="5" t="s">
        <v>92</v>
      </c>
      <c r="S19" s="5" t="s">
        <v>42</v>
      </c>
      <c r="T19" s="5">
        <v>5.6863000000000001</v>
      </c>
      <c r="U19" s="5" t="s">
        <v>51</v>
      </c>
      <c r="V19" s="5" t="s">
        <v>93</v>
      </c>
      <c r="W19" s="5" t="s">
        <v>37</v>
      </c>
      <c r="X19" s="5" t="s">
        <v>103</v>
      </c>
      <c r="Y19" s="8">
        <f t="array" ref="Y19">IF(SUMPRODUCT(($R$2:R19=R19)*1,($L$2:L19=L19)*1)&gt;1,0,1)</f>
        <v>1</v>
      </c>
      <c r="Z19" s="8">
        <f t="shared" si="5"/>
        <v>5</v>
      </c>
      <c r="AA19" s="8" t="str">
        <f t="shared" si="6"/>
        <v>MAXISACOS</v>
      </c>
      <c r="AB19" s="8" cm="1">
        <f t="array" ref="AB19">IF(SUMPRODUCT(($AA$2:AA19=AA19)*1,($R$2:R19=R19)*1,($L$2:L19=L19)*1)&gt;1,0,1)</f>
        <v>1</v>
      </c>
      <c r="AC19" cm="1">
        <f t="array" ref="AC19">IF(SUMPRODUCT(($AA$2:AA19=AA19)*1,($R$2:R19=R19)*1,($L$2:L19=L19)*1,($C$2:C19=C19)*1)&gt;1,0,1)</f>
        <v>1</v>
      </c>
      <c r="AD19">
        <f t="shared" si="7"/>
        <v>30</v>
      </c>
      <c r="AE19" t="str">
        <f t="shared" si="8"/>
        <v>Despachado</v>
      </c>
      <c r="AF19">
        <f t="shared" si="9"/>
        <v>1</v>
      </c>
      <c r="AG19" cm="1">
        <f t="array" ref="AG19">IF(SUMPRODUCT(($M$2:M19=M19)*1,($L$2:L19=L19)*1)&gt;1,0,1)</f>
        <v>0</v>
      </c>
      <c r="AH19" cm="1">
        <f t="array" ref="AH19">IF(SUMPRODUCT(($AA$2:AA19=AA19)*1,($A$2:A19=A19)*1,($B$2:B19=B19)*1,($M$2:M19=M19)*1,($L$2:L19=L19)*1)&gt;1,0,1)</f>
        <v>0</v>
      </c>
      <c r="AI19" cm="1">
        <f t="array" ref="AI19">IF(SUMPRODUCT(($A$2:A19=A19)*1,($B$2:B19=B19)*1,($M$2:M19=M19)*1,($L$2:L19=L19)*1)&gt;1,0,1)</f>
        <v>0</v>
      </c>
    </row>
    <row r="20" spans="1:35" x14ac:dyDescent="0.35">
      <c r="A20" s="5" t="s">
        <v>101</v>
      </c>
      <c r="B20" s="5" t="s">
        <v>126</v>
      </c>
      <c r="C20" s="5" t="s">
        <v>94</v>
      </c>
      <c r="D20" s="5" t="s">
        <v>69</v>
      </c>
      <c r="E20" s="5" t="s">
        <v>95</v>
      </c>
      <c r="F20" s="5" t="s">
        <v>27</v>
      </c>
      <c r="G20" s="5">
        <v>30</v>
      </c>
      <c r="H20" s="5" t="s">
        <v>28</v>
      </c>
      <c r="I20" s="5" t="s">
        <v>49</v>
      </c>
      <c r="J20" s="5">
        <v>2026</v>
      </c>
      <c r="K20" s="5" t="s">
        <v>30</v>
      </c>
      <c r="L20" s="3">
        <v>45315</v>
      </c>
      <c r="M20" s="5" t="s">
        <v>31</v>
      </c>
      <c r="N20" s="5" t="s">
        <v>32</v>
      </c>
      <c r="O20" s="5" t="s">
        <v>32</v>
      </c>
      <c r="P20" s="5">
        <v>13381</v>
      </c>
      <c r="Q20" s="5">
        <v>0</v>
      </c>
      <c r="R20" s="5" t="s">
        <v>96</v>
      </c>
      <c r="S20" s="5" t="s">
        <v>42</v>
      </c>
      <c r="T20" s="5">
        <v>0.29959999999999998</v>
      </c>
      <c r="U20" s="5" t="s">
        <v>51</v>
      </c>
      <c r="V20" s="5" t="s">
        <v>97</v>
      </c>
      <c r="W20" s="5" t="s">
        <v>84</v>
      </c>
      <c r="X20" s="5" t="s">
        <v>103</v>
      </c>
      <c r="Y20" s="8">
        <f t="array" ref="Y20">IF(SUMPRODUCT(($R$2:R20=R20)*1,($L$2:L20=L20)*1)&gt;1,0,1)</f>
        <v>1</v>
      </c>
      <c r="Z20" s="8">
        <f t="shared" si="5"/>
        <v>4</v>
      </c>
      <c r="AA20" s="8" t="str">
        <f t="shared" si="6"/>
        <v>MAXISACOS</v>
      </c>
      <c r="AB20" s="8" cm="1">
        <f t="array" ref="AB20">IF(SUMPRODUCT(($AA$2:AA20=AA20)*1,($R$2:R20=R20)*1,($L$2:L20=L20)*1)&gt;1,0,1)</f>
        <v>1</v>
      </c>
      <c r="AC20" cm="1">
        <f t="array" ref="AC20">IF(SUMPRODUCT(($AA$2:AA20=AA20)*1,($R$2:R20=R20)*1,($L$2:L20=L20)*1,($C$2:C20=C20)*1)&gt;1,0,1)</f>
        <v>1</v>
      </c>
      <c r="AD20">
        <f t="shared" si="7"/>
        <v>24</v>
      </c>
      <c r="AE20" t="str">
        <f t="shared" si="8"/>
        <v>Despachado</v>
      </c>
      <c r="AF20">
        <f t="shared" si="9"/>
        <v>1</v>
      </c>
      <c r="AG20" cm="1">
        <f t="array" ref="AG20">IF(SUMPRODUCT(($M$2:M20=M20)*1,($L$2:L20=L20)*1)&gt;1,0,1)</f>
        <v>0</v>
      </c>
      <c r="AH20" cm="1">
        <f t="array" ref="AH20">IF(SUMPRODUCT(($AA$2:AA20=AA20)*1,($A$2:A20=A20)*1,($B$2:B20=B20)*1,($M$2:M20=M20)*1,($L$2:L20=L20)*1)&gt;1,0,1)</f>
        <v>0</v>
      </c>
      <c r="AI20" cm="1">
        <f t="array" ref="AI20">IF(SUMPRODUCT(($A$2:A20=A20)*1,($B$2:B20=B20)*1,($M$2:M20=M20)*1,($L$2:L20=L20)*1)&gt;1,0,1)</f>
        <v>0</v>
      </c>
    </row>
    <row r="21" spans="1:35" x14ac:dyDescent="0.35">
      <c r="A21" s="5" t="s">
        <v>101</v>
      </c>
      <c r="B21" s="5" t="s">
        <v>126</v>
      </c>
      <c r="C21" s="5" t="s">
        <v>98</v>
      </c>
      <c r="D21" s="5" t="s">
        <v>69</v>
      </c>
      <c r="E21" s="5" t="s">
        <v>99</v>
      </c>
      <c r="F21" s="5" t="s">
        <v>48</v>
      </c>
      <c r="G21" s="5">
        <v>600</v>
      </c>
      <c r="H21" s="5" t="s">
        <v>28</v>
      </c>
      <c r="I21" s="5" t="s">
        <v>49</v>
      </c>
      <c r="J21" s="5">
        <v>2026</v>
      </c>
      <c r="K21" s="5" t="s">
        <v>30</v>
      </c>
      <c r="L21" s="3">
        <v>45308</v>
      </c>
      <c r="M21" s="5" t="s">
        <v>31</v>
      </c>
      <c r="N21" s="5" t="s">
        <v>32</v>
      </c>
      <c r="O21" s="5" t="s">
        <v>32</v>
      </c>
      <c r="P21" s="5">
        <v>13381</v>
      </c>
      <c r="Q21" s="5">
        <v>0</v>
      </c>
      <c r="R21" s="5" t="s">
        <v>100</v>
      </c>
      <c r="S21" s="5" t="s">
        <v>42</v>
      </c>
      <c r="T21" s="5">
        <v>2.2448999999999999</v>
      </c>
      <c r="U21" s="5" t="s">
        <v>51</v>
      </c>
      <c r="V21" s="5" t="s">
        <v>32</v>
      </c>
      <c r="W21" s="5" t="s">
        <v>84</v>
      </c>
      <c r="X21" s="5" t="s">
        <v>103</v>
      </c>
      <c r="Y21" s="8">
        <f t="array" ref="Y21">IF(SUMPRODUCT(($R$2:R21=R21)*1,($L$2:L21=L21)*1)&gt;1,0,1)</f>
        <v>1</v>
      </c>
      <c r="Z21" s="8">
        <f t="shared" si="5"/>
        <v>3</v>
      </c>
      <c r="AA21" s="8" t="str">
        <f t="shared" si="6"/>
        <v>SACOS</v>
      </c>
      <c r="AB21" s="8" cm="1">
        <f t="array" ref="AB21">IF(SUMPRODUCT(($AA$2:AA21=AA21)*1,($R$2:R21=R21)*1,($L$2:L21=L21)*1)&gt;1,0,1)</f>
        <v>1</v>
      </c>
      <c r="AC21" cm="1">
        <f t="array" ref="AC21">IF(SUMPRODUCT(($AA$2:AA21=AA21)*1,($R$2:R21=R21)*1,($L$2:L21=L21)*1,($C$2:C21=C21)*1)&gt;1,0,1)</f>
        <v>1</v>
      </c>
      <c r="AD21">
        <f t="shared" si="7"/>
        <v>17</v>
      </c>
      <c r="AE21" t="str">
        <f t="shared" si="8"/>
        <v>Despachado</v>
      </c>
      <c r="AF21">
        <f t="shared" si="9"/>
        <v>1</v>
      </c>
      <c r="AG21" cm="1">
        <f t="array" ref="AG21">IF(SUMPRODUCT(($M$2:M21=M21)*1,($L$2:L21=L21)*1)&gt;1,0,1)</f>
        <v>0</v>
      </c>
      <c r="AH21" cm="1">
        <f t="array" ref="AH21">IF(SUMPRODUCT(($AA$2:AA21=AA21)*1,($A$2:A21=A21)*1,($B$2:B21=B21)*1,($M$2:M21=M21)*1,($L$2:L21=L21)*1)&gt;1,0,1)</f>
        <v>1</v>
      </c>
      <c r="AI21" cm="1">
        <f t="array" ref="AI21">IF(SUMPRODUCT(($A$2:A21=A21)*1,($B$2:B21=B21)*1,($M$2:M21=M21)*1,($L$2:L21=L21)*1)&gt;1,0,1)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Rodriguez</dc:creator>
  <cp:lastModifiedBy>Hernan Rodriguez</cp:lastModifiedBy>
  <dcterms:created xsi:type="dcterms:W3CDTF">2026-05-27T17:13:11Z</dcterms:created>
  <dcterms:modified xsi:type="dcterms:W3CDTF">2026-05-27T17:17:34Z</dcterms:modified>
</cp:coreProperties>
</file>